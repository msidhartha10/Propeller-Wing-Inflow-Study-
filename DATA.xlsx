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ZAS\2D_Airfoil\NACA0012\"/>
    </mc:Choice>
  </mc:AlternateContent>
  <xr:revisionPtr revIDLastSave="0" documentId="8_{3CC65A23-29C5-4082-A38A-64A0DF9CA9BC}" xr6:coauthVersionLast="47" xr6:coauthVersionMax="47" xr10:uidLastSave="{00000000-0000-0000-0000-000000000000}"/>
  <bookViews>
    <workbookView xWindow="-118" yWindow="-118" windowWidth="25370" windowHeight="13667" tabRatio="584" firstSheet="1" activeTab="7" xr2:uid="{00000000-000D-0000-FFFF-FFFF00000000}"/>
  </bookViews>
  <sheets>
    <sheet name="Coordinates" sheetId="6" r:id="rId1"/>
    <sheet name="COARSE MESH" sheetId="7" r:id="rId2"/>
    <sheet name="MEDIUM MESH" sheetId="1" r:id="rId3"/>
    <sheet name="FINE MESH" sheetId="8" r:id="rId4"/>
    <sheet name="Y+ " sheetId="3" r:id="rId5"/>
    <sheet name="Mesh Details" sheetId="4" r:id="rId6"/>
    <sheet name="Comparison (2)" sheetId="11" r:id="rId7"/>
    <sheet name="Sheet2" sheetId="12" r:id="rId8"/>
    <sheet name="Sheet1" sheetId="10" r:id="rId9"/>
    <sheet name="GCI" sheetId="5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2" l="1"/>
  <c r="F23" i="12"/>
  <c r="F11" i="12"/>
  <c r="F16" i="12" l="1"/>
  <c r="F17" i="12"/>
  <c r="F18" i="12"/>
  <c r="F19" i="12"/>
  <c r="F20" i="12"/>
  <c r="F21" i="12"/>
  <c r="F22" i="12"/>
  <c r="F15" i="12"/>
  <c r="F6" i="12"/>
  <c r="F7" i="12"/>
  <c r="F8" i="12"/>
  <c r="F9" i="12"/>
  <c r="F10" i="12"/>
  <c r="F5" i="12"/>
  <c r="E22" i="12"/>
  <c r="E21" i="12"/>
  <c r="E20" i="12"/>
  <c r="E19" i="12"/>
  <c r="E18" i="12"/>
  <c r="E17" i="12"/>
  <c r="E16" i="12"/>
  <c r="E15" i="12"/>
  <c r="F13" i="10"/>
  <c r="K17" i="10" s="1"/>
  <c r="F8" i="10"/>
  <c r="F3" i="10"/>
  <c r="K8" i="10" s="1"/>
  <c r="G8" i="10" l="1"/>
  <c r="H8" i="10"/>
  <c r="I8" i="10"/>
  <c r="J8" i="10"/>
  <c r="G17" i="10"/>
  <c r="J17" i="10"/>
  <c r="F17" i="10"/>
  <c r="H17" i="10"/>
  <c r="I17" i="10"/>
  <c r="C19" i="10"/>
  <c r="C20" i="10"/>
  <c r="C21" i="10"/>
  <c r="C22" i="10"/>
  <c r="D8" i="10" s="1"/>
  <c r="C23" i="10"/>
  <c r="C24" i="10"/>
  <c r="C25" i="10"/>
  <c r="C26" i="10"/>
  <c r="C27" i="10"/>
  <c r="C28" i="10"/>
  <c r="C29" i="10"/>
  <c r="C18" i="10"/>
  <c r="I30" i="11"/>
  <c r="I23" i="11"/>
  <c r="I27" i="11"/>
  <c r="I28" i="11"/>
  <c r="I29" i="11"/>
  <c r="I31" i="11"/>
  <c r="I32" i="11"/>
  <c r="I33" i="11"/>
  <c r="I34" i="11"/>
  <c r="I17" i="11"/>
  <c r="I18" i="11"/>
  <c r="I19" i="11"/>
  <c r="I20" i="11"/>
  <c r="I21" i="11"/>
  <c r="I22" i="11"/>
  <c r="I16" i="11"/>
  <c r="J23" i="11"/>
  <c r="J27" i="11"/>
  <c r="J28" i="11"/>
  <c r="J29" i="11"/>
  <c r="J30" i="11"/>
  <c r="J31" i="11"/>
  <c r="J32" i="11"/>
  <c r="J33" i="11"/>
  <c r="J34" i="11"/>
  <c r="J22" i="11"/>
  <c r="J16" i="11"/>
  <c r="J17" i="11"/>
  <c r="J18" i="11"/>
  <c r="J19" i="11"/>
  <c r="J20" i="11"/>
  <c r="J21" i="11"/>
  <c r="E31" i="11"/>
  <c r="E28" i="11"/>
  <c r="E29" i="11"/>
  <c r="E30" i="11"/>
  <c r="E32" i="11"/>
  <c r="E33" i="11"/>
  <c r="E34" i="11"/>
  <c r="E27" i="11"/>
  <c r="D3" i="10" l="1"/>
  <c r="H10" i="11"/>
  <c r="G10" i="11"/>
  <c r="F10" i="11"/>
  <c r="E10" i="11"/>
  <c r="D10" i="11"/>
  <c r="C10" i="11"/>
  <c r="H9" i="11"/>
  <c r="G9" i="11"/>
  <c r="F9" i="11"/>
  <c r="E9" i="11"/>
  <c r="D9" i="11"/>
  <c r="C9" i="11"/>
  <c r="H8" i="11"/>
  <c r="G8" i="11"/>
  <c r="F8" i="11"/>
  <c r="E8" i="11"/>
  <c r="D8" i="11"/>
  <c r="C8" i="11"/>
  <c r="H7" i="11"/>
  <c r="G7" i="11"/>
  <c r="F7" i="11"/>
  <c r="E7" i="11"/>
  <c r="D7" i="11"/>
  <c r="C7" i="11"/>
  <c r="H6" i="11"/>
  <c r="G6" i="11"/>
  <c r="F6" i="11"/>
  <c r="E6" i="11"/>
  <c r="D6" i="11"/>
  <c r="C6" i="11"/>
  <c r="H5" i="11"/>
  <c r="G5" i="11"/>
  <c r="F5" i="11"/>
  <c r="E5" i="11"/>
  <c r="D5" i="11"/>
  <c r="C5" i="11"/>
  <c r="H4" i="11"/>
  <c r="G4" i="11"/>
  <c r="F4" i="11"/>
  <c r="E4" i="11"/>
  <c r="D4" i="11"/>
  <c r="C4" i="11"/>
  <c r="H3" i="11"/>
  <c r="G3" i="11"/>
  <c r="F3" i="11"/>
  <c r="E3" i="11"/>
  <c r="D3" i="11"/>
  <c r="C3" i="11"/>
  <c r="H2" i="11"/>
  <c r="G2" i="11"/>
  <c r="F2" i="11"/>
  <c r="E2" i="11"/>
  <c r="D2" i="11"/>
  <c r="C2" i="11"/>
  <c r="G44" i="11"/>
  <c r="B39" i="11"/>
  <c r="D10" i="10"/>
  <c r="D11" i="10"/>
  <c r="D12" i="10" s="1"/>
  <c r="D13" i="10" l="1"/>
  <c r="D14" i="10" s="1"/>
  <c r="G2" i="8"/>
  <c r="I22" i="5"/>
  <c r="D22" i="5"/>
  <c r="E6" i="8"/>
  <c r="E8" i="1"/>
  <c r="G8" i="1"/>
  <c r="H8" i="1"/>
  <c r="I8" i="1"/>
  <c r="J8" i="1"/>
  <c r="N8" i="1" s="1"/>
  <c r="K8" i="1"/>
  <c r="L8" i="1"/>
  <c r="M8" i="1"/>
  <c r="G2" i="7"/>
  <c r="G3" i="7"/>
  <c r="G4" i="7"/>
  <c r="G5" i="7"/>
  <c r="G6" i="7"/>
  <c r="G8" i="7"/>
  <c r="G9" i="7"/>
  <c r="G10" i="7"/>
  <c r="G7" i="7"/>
  <c r="E2" i="8"/>
  <c r="E3" i="8"/>
  <c r="E4" i="8"/>
  <c r="E5" i="8"/>
  <c r="E8" i="8"/>
  <c r="E9" i="8"/>
  <c r="E10" i="8"/>
  <c r="E11" i="8"/>
  <c r="E12" i="8"/>
  <c r="E7" i="8"/>
  <c r="L13" i="8"/>
  <c r="K13" i="8"/>
  <c r="J13" i="8"/>
  <c r="N13" i="8" s="1"/>
  <c r="I13" i="8"/>
  <c r="M13" i="8" s="1"/>
  <c r="H13" i="8"/>
  <c r="G13" i="8"/>
  <c r="E13" i="8"/>
  <c r="L12" i="8"/>
  <c r="K12" i="8"/>
  <c r="J12" i="8"/>
  <c r="N12" i="8" s="1"/>
  <c r="I12" i="8"/>
  <c r="M12" i="8" s="1"/>
  <c r="H12" i="8"/>
  <c r="G12" i="8"/>
  <c r="L11" i="8"/>
  <c r="K11" i="8"/>
  <c r="J11" i="8"/>
  <c r="N11" i="8" s="1"/>
  <c r="I11" i="8"/>
  <c r="M11" i="8" s="1"/>
  <c r="H11" i="8"/>
  <c r="G11" i="8"/>
  <c r="L10" i="8"/>
  <c r="K10" i="8"/>
  <c r="J10" i="8"/>
  <c r="N10" i="8" s="1"/>
  <c r="I10" i="8"/>
  <c r="M10" i="8" s="1"/>
  <c r="H10" i="8"/>
  <c r="G10" i="8"/>
  <c r="L9" i="8"/>
  <c r="K9" i="8"/>
  <c r="J9" i="8"/>
  <c r="N9" i="8" s="1"/>
  <c r="I9" i="8"/>
  <c r="M9" i="8" s="1"/>
  <c r="H9" i="8"/>
  <c r="G9" i="8"/>
  <c r="L8" i="8"/>
  <c r="K8" i="8"/>
  <c r="J8" i="8"/>
  <c r="N8" i="8" s="1"/>
  <c r="I8" i="8"/>
  <c r="M8" i="8" s="1"/>
  <c r="H8" i="8"/>
  <c r="G8" i="8"/>
  <c r="L7" i="8"/>
  <c r="K7" i="8"/>
  <c r="J7" i="8"/>
  <c r="N7" i="8" s="1"/>
  <c r="I7" i="8"/>
  <c r="M7" i="8" s="1"/>
  <c r="H7" i="8"/>
  <c r="G7" i="8"/>
  <c r="L6" i="8"/>
  <c r="K6" i="8"/>
  <c r="J6" i="8"/>
  <c r="N6" i="8" s="1"/>
  <c r="I6" i="8"/>
  <c r="M6" i="8" s="1"/>
  <c r="H6" i="8"/>
  <c r="G6" i="8"/>
  <c r="L5" i="8"/>
  <c r="K5" i="8"/>
  <c r="J5" i="8"/>
  <c r="N5" i="8" s="1"/>
  <c r="I5" i="8"/>
  <c r="M5" i="8" s="1"/>
  <c r="H5" i="8"/>
  <c r="G5" i="8"/>
  <c r="L4" i="8"/>
  <c r="K4" i="8"/>
  <c r="J4" i="8"/>
  <c r="N4" i="8" s="1"/>
  <c r="I4" i="8"/>
  <c r="M4" i="8" s="1"/>
  <c r="H4" i="8"/>
  <c r="G4" i="8"/>
  <c r="L3" i="8"/>
  <c r="K3" i="8"/>
  <c r="J3" i="8"/>
  <c r="N3" i="8" s="1"/>
  <c r="I3" i="8"/>
  <c r="M3" i="8" s="1"/>
  <c r="H3" i="8"/>
  <c r="G3" i="8"/>
  <c r="L2" i="8"/>
  <c r="K2" i="8"/>
  <c r="J2" i="8"/>
  <c r="N2" i="8" s="1"/>
  <c r="I2" i="8"/>
  <c r="M2" i="8" s="1"/>
  <c r="H2" i="8"/>
  <c r="N10" i="7"/>
  <c r="M10" i="7"/>
  <c r="L10" i="7"/>
  <c r="P10" i="7" s="1"/>
  <c r="K10" i="7"/>
  <c r="O10" i="7" s="1"/>
  <c r="J10" i="7"/>
  <c r="I10" i="7"/>
  <c r="N9" i="7"/>
  <c r="M9" i="7"/>
  <c r="L9" i="7"/>
  <c r="P9" i="7" s="1"/>
  <c r="K9" i="7"/>
  <c r="O9" i="7" s="1"/>
  <c r="J9" i="7"/>
  <c r="I9" i="7"/>
  <c r="N8" i="7"/>
  <c r="M8" i="7"/>
  <c r="L8" i="7"/>
  <c r="P8" i="7" s="1"/>
  <c r="K8" i="7"/>
  <c r="O8" i="7" s="1"/>
  <c r="J8" i="7"/>
  <c r="I8" i="7"/>
  <c r="N7" i="7"/>
  <c r="M7" i="7"/>
  <c r="L7" i="7"/>
  <c r="P7" i="7" s="1"/>
  <c r="K7" i="7"/>
  <c r="O7" i="7" s="1"/>
  <c r="J7" i="7"/>
  <c r="I7" i="7"/>
  <c r="N6" i="7"/>
  <c r="M6" i="7"/>
  <c r="L6" i="7"/>
  <c r="P6" i="7" s="1"/>
  <c r="K6" i="7"/>
  <c r="O6" i="7" s="1"/>
  <c r="J6" i="7"/>
  <c r="I6" i="7"/>
  <c r="N5" i="7"/>
  <c r="M5" i="7"/>
  <c r="L5" i="7"/>
  <c r="P5" i="7" s="1"/>
  <c r="K5" i="7"/>
  <c r="O5" i="7" s="1"/>
  <c r="J5" i="7"/>
  <c r="I5" i="7"/>
  <c r="N4" i="7"/>
  <c r="M4" i="7"/>
  <c r="L4" i="7"/>
  <c r="P4" i="7" s="1"/>
  <c r="K4" i="7"/>
  <c r="O4" i="7" s="1"/>
  <c r="J4" i="7"/>
  <c r="I4" i="7"/>
  <c r="N3" i="7"/>
  <c r="M3" i="7"/>
  <c r="L3" i="7"/>
  <c r="P3" i="7" s="1"/>
  <c r="K3" i="7"/>
  <c r="O3" i="7" s="1"/>
  <c r="J3" i="7"/>
  <c r="I3" i="7"/>
  <c r="N2" i="7"/>
  <c r="M2" i="7"/>
  <c r="L2" i="7"/>
  <c r="P2" i="7" s="1"/>
  <c r="K2" i="7"/>
  <c r="O2" i="7" s="1"/>
  <c r="J2" i="7"/>
  <c r="I2" i="7"/>
  <c r="F19" i="5" l="1"/>
  <c r="G7" i="5"/>
  <c r="H7" i="5"/>
  <c r="N7" i="5"/>
  <c r="A7" i="4"/>
  <c r="A5" i="4"/>
  <c r="B17" i="3"/>
  <c r="J7" i="1"/>
  <c r="N7" i="1" s="1"/>
  <c r="H6" i="5"/>
  <c r="H5" i="5"/>
  <c r="H21" i="5"/>
  <c r="I21" i="5" s="1"/>
  <c r="B21" i="5"/>
  <c r="F21" i="5"/>
  <c r="H20" i="5"/>
  <c r="I20" i="5" s="1"/>
  <c r="B20" i="5"/>
  <c r="F20" i="5"/>
  <c r="H19" i="5"/>
  <c r="I19" i="5" s="1"/>
  <c r="B19" i="5"/>
  <c r="N6" i="5"/>
  <c r="G6" i="5"/>
  <c r="N5" i="5"/>
  <c r="G5" i="5"/>
  <c r="C2" i="5"/>
  <c r="C2" i="4"/>
  <c r="F7" i="4" s="1"/>
  <c r="F8" i="4" s="1"/>
  <c r="F23" i="3"/>
  <c r="G11" i="3"/>
  <c r="F17" i="3" s="1"/>
  <c r="G10" i="3"/>
  <c r="F18" i="3" s="1"/>
  <c r="F19" i="3" s="1"/>
  <c r="E3" i="1"/>
  <c r="E4" i="1"/>
  <c r="E5" i="1"/>
  <c r="E6" i="1"/>
  <c r="E7" i="1"/>
  <c r="E9" i="1"/>
  <c r="E10" i="1"/>
  <c r="E11" i="1"/>
  <c r="E12" i="1"/>
  <c r="E13" i="1"/>
  <c r="E2" i="1"/>
  <c r="G12" i="1"/>
  <c r="H12" i="1"/>
  <c r="G9" i="1"/>
  <c r="H9" i="1"/>
  <c r="I9" i="1"/>
  <c r="M9" i="1" s="1"/>
  <c r="J9" i="1"/>
  <c r="N9" i="1" s="1"/>
  <c r="K9" i="1"/>
  <c r="L9" i="1"/>
  <c r="I12" i="1"/>
  <c r="M12" i="1" s="1"/>
  <c r="J12" i="1"/>
  <c r="N12" i="1" s="1"/>
  <c r="K12" i="1"/>
  <c r="L12" i="1"/>
  <c r="G11" i="1"/>
  <c r="H11" i="1"/>
  <c r="G10" i="1"/>
  <c r="H10" i="1"/>
  <c r="I11" i="1"/>
  <c r="M11" i="1" s="1"/>
  <c r="J11" i="1"/>
  <c r="N11" i="1" s="1"/>
  <c r="K11" i="1"/>
  <c r="L11" i="1"/>
  <c r="I10" i="1"/>
  <c r="M10" i="1" s="1"/>
  <c r="J10" i="1"/>
  <c r="N10" i="1" s="1"/>
  <c r="K10" i="1"/>
  <c r="L10" i="1"/>
  <c r="H13" i="1"/>
  <c r="G13" i="1"/>
  <c r="I13" i="1"/>
  <c r="M13" i="1" s="1"/>
  <c r="J13" i="1"/>
  <c r="N13" i="1" s="1"/>
  <c r="K13" i="1"/>
  <c r="L13" i="1"/>
  <c r="L3" i="1"/>
  <c r="L4" i="1"/>
  <c r="L5" i="1"/>
  <c r="L6" i="1"/>
  <c r="L7" i="1"/>
  <c r="K3" i="1"/>
  <c r="K4" i="1"/>
  <c r="K5" i="1"/>
  <c r="K6" i="1"/>
  <c r="K7" i="1"/>
  <c r="J3" i="1"/>
  <c r="N3" i="1" s="1"/>
  <c r="J4" i="1"/>
  <c r="N4" i="1" s="1"/>
  <c r="J5" i="1"/>
  <c r="N5" i="1" s="1"/>
  <c r="J6" i="1"/>
  <c r="N6" i="1" s="1"/>
  <c r="I3" i="1"/>
  <c r="M3" i="1" s="1"/>
  <c r="I4" i="1"/>
  <c r="M4" i="1" s="1"/>
  <c r="I5" i="1"/>
  <c r="M5" i="1" s="1"/>
  <c r="I6" i="1"/>
  <c r="M6" i="1" s="1"/>
  <c r="I7" i="1"/>
  <c r="M7" i="1" s="1"/>
  <c r="L2" i="1"/>
  <c r="I2" i="1"/>
  <c r="M2" i="1" s="1"/>
  <c r="K2" i="1"/>
  <c r="J2" i="1"/>
  <c r="N2" i="1" s="1"/>
  <c r="H3" i="1"/>
  <c r="H4" i="1"/>
  <c r="H5" i="1"/>
  <c r="H6" i="1"/>
  <c r="H7" i="1"/>
  <c r="H2" i="1"/>
  <c r="G3" i="1"/>
  <c r="G4" i="1"/>
  <c r="G5" i="1"/>
  <c r="G6" i="1"/>
  <c r="G7" i="1"/>
  <c r="G2" i="1"/>
  <c r="G11" i="5" l="1"/>
  <c r="I7" i="5"/>
  <c r="J7" i="5" s="1"/>
  <c r="K7" i="5"/>
  <c r="P7" i="5" s="1"/>
  <c r="Q7" i="5" s="1"/>
  <c r="I5" i="5"/>
  <c r="K5" i="5" s="1"/>
  <c r="C5" i="4"/>
  <c r="I6" i="5"/>
  <c r="J6" i="5" s="1"/>
  <c r="D7" i="4"/>
  <c r="D8" i="4" s="1"/>
  <c r="D5" i="4"/>
  <c r="E5" i="4"/>
  <c r="F5" i="4"/>
  <c r="C7" i="4"/>
  <c r="C8" i="4" s="1"/>
  <c r="D21" i="5"/>
  <c r="D20" i="5"/>
  <c r="D19" i="5"/>
  <c r="E7" i="4"/>
  <c r="E8" i="4" s="1"/>
  <c r="F21" i="3"/>
  <c r="F24" i="3" s="1"/>
  <c r="F25" i="3" s="1"/>
  <c r="H10" i="3"/>
  <c r="F15" i="3" s="1"/>
  <c r="H11" i="3"/>
  <c r="F14" i="3" s="1"/>
  <c r="F16" i="3" s="1"/>
  <c r="B5" i="3" s="1"/>
  <c r="K6" i="5" l="1"/>
  <c r="L5" i="5"/>
  <c r="M5" i="5"/>
  <c r="J5" i="5"/>
  <c r="E11" i="5"/>
  <c r="P6" i="5"/>
  <c r="Q6" i="5" s="1"/>
  <c r="L7" i="5"/>
  <c r="M7" i="5"/>
  <c r="P5" i="5"/>
  <c r="Q5" i="5" s="1"/>
  <c r="B6" i="3"/>
  <c r="B7" i="3" s="1"/>
  <c r="B8" i="3" s="1"/>
  <c r="B9" i="3" s="1"/>
  <c r="B11" i="3" l="1"/>
  <c r="B12" i="3" s="1"/>
  <c r="B19" i="3"/>
  <c r="L6" i="5"/>
  <c r="H23" i="5" s="1"/>
  <c r="I23" i="5" s="1"/>
  <c r="M6" i="5"/>
  <c r="O7" i="5"/>
  <c r="R7" i="5"/>
  <c r="O5" i="5"/>
  <c r="R5" i="5"/>
  <c r="F23" i="5"/>
  <c r="I11" i="5"/>
  <c r="O6" i="5" l="1"/>
  <c r="R6" i="5"/>
  <c r="G16" i="5"/>
  <c r="G12" i="5"/>
  <c r="I12" i="5" s="1"/>
  <c r="G14" i="5"/>
  <c r="G13" i="5" l="1"/>
  <c r="I13" i="5" s="1"/>
  <c r="I14" i="5" s="1"/>
  <c r="G15" i="5"/>
  <c r="G17" i="5"/>
  <c r="I15" i="5" l="1"/>
  <c r="I16" i="5" s="1"/>
</calcChain>
</file>

<file path=xl/sharedStrings.xml><?xml version="1.0" encoding="utf-8"?>
<sst xmlns="http://schemas.openxmlformats.org/spreadsheetml/2006/main" count="390" uniqueCount="273">
  <si>
    <t>CD</t>
  </si>
  <si>
    <t>CL</t>
  </si>
  <si>
    <t>AOA</t>
  </si>
  <si>
    <t>CM</t>
  </si>
  <si>
    <t>Vx</t>
  </si>
  <si>
    <t>Vy</t>
  </si>
  <si>
    <t>Dx</t>
  </si>
  <si>
    <t>Dy</t>
  </si>
  <si>
    <t>Lx</t>
  </si>
  <si>
    <t>Ly</t>
  </si>
  <si>
    <t>mx</t>
  </si>
  <si>
    <t>my</t>
  </si>
  <si>
    <t>V (m/s)</t>
  </si>
  <si>
    <t>CL /CD</t>
  </si>
  <si>
    <t>http://airfoiltools.com/airfoil/details?airfoil=n0012-il#polars</t>
  </si>
  <si>
    <t>ANSYS Fluent case ran at STP of P = 101,325 Pa and 293K</t>
  </si>
  <si>
    <t>rho (kg/m^3)</t>
  </si>
  <si>
    <t>L (m)</t>
  </si>
  <si>
    <t>U (m/s)</t>
  </si>
  <si>
    <t>  μ = μo*(a/b)*(T/To)3/2</t>
  </si>
  <si>
    <t>b = 0.555 T + C</t>
  </si>
  <si>
    <t xml:space="preserve">For Standart Air </t>
  </si>
  <si>
    <t xml:space="preserve">T = </t>
  </si>
  <si>
    <t>in C</t>
  </si>
  <si>
    <t>in K</t>
  </si>
  <si>
    <t>T0 =</t>
  </si>
  <si>
    <t>μo =</t>
  </si>
  <si>
    <t>N-s / m^2 or kg/m-s</t>
  </si>
  <si>
    <t>Sutherland's constant, C</t>
  </si>
  <si>
    <t>  μ</t>
  </si>
  <si>
    <t>The reference temperatures and viscosities were selected from CRC (1984, pp.F-42-44).</t>
  </si>
  <si>
    <t>  μ (DYNAMIC VISCOSITY) calculator</t>
  </si>
  <si>
    <t>in R</t>
  </si>
  <si>
    <t>a = 0.555 To + C (for R)</t>
  </si>
  <si>
    <t>b =  T + C</t>
  </si>
  <si>
    <t>a = To + C (for k)</t>
  </si>
  <si>
    <t>LMNO/ Crane model</t>
  </si>
  <si>
    <t>C=</t>
  </si>
  <si>
    <t>T0 (in K)=</t>
  </si>
  <si>
    <t>T(in K) =</t>
  </si>
  <si>
    <t>  μ =</t>
  </si>
  <si>
    <t>NASA / COMSOL Model</t>
  </si>
  <si>
    <t>Re_x</t>
  </si>
  <si>
    <t>t_wall</t>
  </si>
  <si>
    <t>U_friction</t>
  </si>
  <si>
    <t xml:space="preserve">Cf </t>
  </si>
  <si>
    <t xml:space="preserve"> Y+ </t>
  </si>
  <si>
    <t>Parameters</t>
  </si>
  <si>
    <t>Values</t>
  </si>
  <si>
    <t>Formula</t>
  </si>
  <si>
    <t>(rho * U * L)/ μ</t>
  </si>
  <si>
    <t xml:space="preserve"> μ (kg/m s)</t>
  </si>
  <si>
    <t>0.026 / Re_x ^ (1/7)</t>
  </si>
  <si>
    <t>from calculator</t>
  </si>
  <si>
    <t>desired</t>
  </si>
  <si>
    <t xml:space="preserve">0.5 * Cf * rho * U^2 </t>
  </si>
  <si>
    <t>(t_wall / rho)^0.5</t>
  </si>
  <si>
    <t>(Y+ * μ  ) / ( U_fric *rho)</t>
  </si>
  <si>
    <t>input</t>
  </si>
  <si>
    <t>Delta_s (m)</t>
  </si>
  <si>
    <t>r</t>
  </si>
  <si>
    <t># Elements</t>
  </si>
  <si>
    <t>Coarse</t>
  </si>
  <si>
    <t>Medium</t>
  </si>
  <si>
    <t>Fine</t>
  </si>
  <si>
    <t>ARC</t>
  </si>
  <si>
    <t>Radius</t>
  </si>
  <si>
    <t>Length</t>
  </si>
  <si>
    <t>Airfoil_back</t>
  </si>
  <si>
    <t>Calculations</t>
  </si>
  <si>
    <r>
      <t>ANSYS fluent coarse φ3</t>
    </r>
    <r>
      <rPr>
        <sz val="8"/>
        <color theme="1"/>
        <rFont val="Calibri"/>
        <family val="2"/>
        <scheme val="minor"/>
      </rPr>
      <t xml:space="preserve"> </t>
    </r>
  </si>
  <si>
    <r>
      <t>ANSYS fluent medium φ</t>
    </r>
    <r>
      <rPr>
        <sz val="8"/>
        <color theme="1"/>
        <rFont val="Calibri"/>
        <family val="2"/>
        <scheme val="minor"/>
      </rPr>
      <t>2</t>
    </r>
  </si>
  <si>
    <t>ANSYS fluent fine φ1</t>
  </si>
  <si>
    <r>
      <t>ε</t>
    </r>
    <r>
      <rPr>
        <sz val="8"/>
        <rFont val="Calibri"/>
        <family val="2"/>
        <scheme val="minor"/>
      </rPr>
      <t>32</t>
    </r>
  </si>
  <si>
    <r>
      <t>ε</t>
    </r>
    <r>
      <rPr>
        <sz val="8"/>
        <rFont val="Calibri"/>
        <family val="2"/>
        <scheme val="minor"/>
      </rPr>
      <t>21</t>
    </r>
  </si>
  <si>
    <r>
      <t>ε</t>
    </r>
    <r>
      <rPr>
        <sz val="8"/>
        <rFont val="Calibri"/>
        <family val="2"/>
        <scheme val="minor"/>
      </rPr>
      <t>21</t>
    </r>
    <r>
      <rPr>
        <sz val="12"/>
        <rFont val="Calibri"/>
        <family val="2"/>
        <scheme val="minor"/>
      </rPr>
      <t>/ε</t>
    </r>
    <r>
      <rPr>
        <sz val="8"/>
        <rFont val="Calibri"/>
        <family val="2"/>
        <scheme val="minor"/>
      </rPr>
      <t>32</t>
    </r>
  </si>
  <si>
    <t>Behaviour</t>
  </si>
  <si>
    <t>p</t>
  </si>
  <si>
    <r>
      <t xml:space="preserve"> φ</t>
    </r>
    <r>
      <rPr>
        <sz val="8"/>
        <color theme="1"/>
        <rFont val="Calibri"/>
        <family val="2"/>
        <scheme val="minor"/>
      </rPr>
      <t>ext 21</t>
    </r>
  </si>
  <si>
    <r>
      <t xml:space="preserve"> φ</t>
    </r>
    <r>
      <rPr>
        <sz val="8"/>
        <color theme="1"/>
        <rFont val="Calibri"/>
        <family val="2"/>
        <scheme val="minor"/>
      </rPr>
      <t>ext 32</t>
    </r>
  </si>
  <si>
    <r>
      <t>e</t>
    </r>
    <r>
      <rPr>
        <sz val="8"/>
        <color theme="1"/>
        <rFont val="Calibri"/>
        <family val="2"/>
        <scheme val="minor"/>
      </rPr>
      <t>a 21</t>
    </r>
  </si>
  <si>
    <r>
      <t>e</t>
    </r>
    <r>
      <rPr>
        <sz val="8"/>
        <color theme="1"/>
        <rFont val="Calibri"/>
        <family val="2"/>
        <scheme val="minor"/>
      </rPr>
      <t>ext 21</t>
    </r>
  </si>
  <si>
    <r>
      <t xml:space="preserve">GCI </t>
    </r>
    <r>
      <rPr>
        <sz val="8"/>
        <color theme="1"/>
        <rFont val="Calibri"/>
        <family val="2"/>
        <scheme val="minor"/>
      </rPr>
      <t>fine 21</t>
    </r>
  </si>
  <si>
    <r>
      <t xml:space="preserve">GCI </t>
    </r>
    <r>
      <rPr>
        <sz val="8"/>
        <color theme="1"/>
        <rFont val="Calibri"/>
        <family val="2"/>
        <scheme val="minor"/>
      </rPr>
      <t>fine 21 (%)</t>
    </r>
  </si>
  <si>
    <t>% error to exp</t>
  </si>
  <si>
    <r>
      <t>C</t>
    </r>
    <r>
      <rPr>
        <sz val="8"/>
        <color theme="1"/>
        <rFont val="Calibri"/>
        <family val="2"/>
        <scheme val="minor"/>
      </rPr>
      <t>L</t>
    </r>
  </si>
  <si>
    <r>
      <t>C</t>
    </r>
    <r>
      <rPr>
        <sz val="8"/>
        <color theme="1"/>
        <rFont val="Calibri"/>
        <family val="2"/>
        <scheme val="minor"/>
      </rPr>
      <t>D</t>
    </r>
  </si>
  <si>
    <t>Iterative calculations to calculate p for non constant refinement ratio</t>
  </si>
  <si>
    <t>s</t>
  </si>
  <si>
    <t>p first</t>
  </si>
  <si>
    <t>q(p)</t>
  </si>
  <si>
    <t>-</t>
  </si>
  <si>
    <r>
      <t>C</t>
    </r>
    <r>
      <rPr>
        <sz val="8"/>
        <color theme="1"/>
        <rFont val="Calibri"/>
        <family val="2"/>
        <scheme val="minor"/>
      </rPr>
      <t>L, coarse (φ3 )</t>
    </r>
  </si>
  <si>
    <t>Number of cells, N</t>
  </si>
  <si>
    <t>1/N (∝ h)</t>
  </si>
  <si>
    <r>
      <t>C</t>
    </r>
    <r>
      <rPr>
        <sz val="8"/>
        <color theme="1"/>
        <rFont val="Calibri"/>
        <family val="2"/>
        <scheme val="minor"/>
      </rPr>
      <t>D, coarse (φ3 )</t>
    </r>
  </si>
  <si>
    <r>
      <t>C</t>
    </r>
    <r>
      <rPr>
        <sz val="8"/>
        <color theme="1"/>
        <rFont val="Calibri"/>
        <family val="2"/>
        <scheme val="minor"/>
      </rPr>
      <t xml:space="preserve">L, med (φ2) </t>
    </r>
  </si>
  <si>
    <r>
      <t>C</t>
    </r>
    <r>
      <rPr>
        <sz val="8"/>
        <color theme="1"/>
        <rFont val="Calibri"/>
        <family val="2"/>
        <scheme val="minor"/>
      </rPr>
      <t xml:space="preserve">D, med (φ2) </t>
    </r>
  </si>
  <si>
    <r>
      <t>C</t>
    </r>
    <r>
      <rPr>
        <sz val="8"/>
        <color theme="1"/>
        <rFont val="Calibri"/>
        <family val="2"/>
        <scheme val="minor"/>
      </rPr>
      <t>L, fine (φ1)</t>
    </r>
  </si>
  <si>
    <r>
      <t>C</t>
    </r>
    <r>
      <rPr>
        <sz val="8"/>
        <color theme="1"/>
        <rFont val="Calibri"/>
        <family val="2"/>
        <scheme val="minor"/>
      </rPr>
      <t>D, fine (φ1)</t>
    </r>
  </si>
  <si>
    <r>
      <t>C</t>
    </r>
    <r>
      <rPr>
        <sz val="8"/>
        <color theme="1"/>
        <rFont val="Calibri"/>
        <family val="2"/>
        <scheme val="minor"/>
      </rPr>
      <t>L, ext (φext 21)</t>
    </r>
  </si>
  <si>
    <t>∞</t>
  </si>
  <si>
    <r>
      <t>C</t>
    </r>
    <r>
      <rPr>
        <sz val="8"/>
        <color theme="1"/>
        <rFont val="Calibri"/>
        <family val="2"/>
        <scheme val="minor"/>
      </rPr>
      <t>D, ext (φext 21)</t>
    </r>
  </si>
  <si>
    <t>#group</t>
  </si>
  <si>
    <t>#point</t>
  </si>
  <si>
    <t>#x</t>
  </si>
  <si>
    <t>#y</t>
  </si>
  <si>
    <t>#z</t>
  </si>
  <si>
    <t>in Ansys (m)</t>
  </si>
  <si>
    <t>in Ansys (mm)</t>
  </si>
  <si>
    <t>so we have Y+ less than 1 and we are gonna capture all the effects in boundary layer</t>
  </si>
  <si>
    <t>Before Simulation</t>
  </si>
  <si>
    <t>then Ansys Y+</t>
  </si>
  <si>
    <t>Domain Extents:</t>
  </si>
  <si>
    <t>Volume statistics:</t>
  </si>
  <si>
    <t>total volume (m3): 1.015007e+01</t>
  </si>
  <si>
    <t>Face area statistics:</t>
  </si>
  <si>
    <t>Mesh Quality:</t>
  </si>
  <si>
    <t xml:space="preserve">Minimum Orthogonal Quality = </t>
  </si>
  <si>
    <t>Maximum Aspect Ratio =</t>
  </si>
  <si>
    <t>at location ( 8.79391e-03, -6.33519e-03)</t>
  </si>
  <si>
    <t>at location ( 2.65253e+00, 5.74063e-07)</t>
  </si>
  <si>
    <t xml:space="preserve">min (m) = -1.350000e+00, </t>
  </si>
  <si>
    <t xml:space="preserve">x-coordinate: </t>
  </si>
  <si>
    <t>max (m) = 2.700000e+00</t>
  </si>
  <si>
    <t xml:space="preserve">min (m) = -1.350001e+00, </t>
  </si>
  <si>
    <t xml:space="preserve">y-coordinate: </t>
  </si>
  <si>
    <t>max (m) = 1.350001e+00</t>
  </si>
  <si>
    <t>min vol. (m3): 2.920828e-10</t>
  </si>
  <si>
    <t>max vol. (m3): 5.450626e-03</t>
  </si>
  <si>
    <t>min face area (m2): 1.139187e-06</t>
  </si>
  <si>
    <t>max face area (m2): 9.494821e-02</t>
  </si>
  <si>
    <t>&gt; 1.3</t>
  </si>
  <si>
    <t># Nodes</t>
  </si>
  <si>
    <t>for 10 AOA</t>
  </si>
  <si>
    <t>Experimental data (Airfoil Tools)</t>
  </si>
  <si>
    <t>Mesh Type</t>
  </si>
  <si>
    <t>Medium Mesh</t>
  </si>
  <si>
    <t>Delta_s (mm)</t>
  </si>
  <si>
    <t>Y+ (in mm)</t>
  </si>
  <si>
    <t>Coarse Mesh</t>
  </si>
  <si>
    <t>Element Size=</t>
  </si>
  <si>
    <t>0.24337 m</t>
  </si>
  <si>
    <t xml:space="preserve">Growth Rate = </t>
  </si>
  <si>
    <t>Mesh Defeaturing Size =</t>
  </si>
  <si>
    <t>Curvature Min Size =</t>
  </si>
  <si>
    <t>2.4337e-003 m</t>
  </si>
  <si>
    <t>1.2169e-003 m</t>
  </si>
  <si>
    <t>Curvature Normal Angle =</t>
  </si>
  <si>
    <t>18.0 deg</t>
  </si>
  <si>
    <t xml:space="preserve">Tarket Skewness = </t>
  </si>
  <si>
    <t>Transition Ratio</t>
  </si>
  <si>
    <t>Max layers</t>
  </si>
  <si>
    <t>Pitch Tol.</t>
  </si>
  <si>
    <t>Inflation option =</t>
  </si>
  <si>
    <t xml:space="preserve"> Smooth Transition</t>
  </si>
  <si>
    <t>Max</t>
  </si>
  <si>
    <t>Min</t>
  </si>
  <si>
    <t>Avg &amp; SD</t>
  </si>
  <si>
    <t>570.59 &amp; 3353.6</t>
  </si>
  <si>
    <t xml:space="preserve">Orthogonal Quality = </t>
  </si>
  <si>
    <t xml:space="preserve"> Aspect Ratio = </t>
  </si>
  <si>
    <t>Skewness</t>
  </si>
  <si>
    <t>0.11922 &amp; 0.17993</t>
  </si>
  <si>
    <t>0.9358 &amp; 0.14359</t>
  </si>
  <si>
    <t>Characteristic Length=</t>
  </si>
  <si>
    <t>0.10373 m</t>
  </si>
  <si>
    <t>2.4074e-005 m</t>
  </si>
  <si>
    <t>4.4396e-003 m &amp; 9.0336e-003 m</t>
  </si>
  <si>
    <t xml:space="preserve">min (m) = </t>
  </si>
  <si>
    <t xml:space="preserve">max vol. (m3): </t>
  </si>
  <si>
    <t>max face area (m2):</t>
  </si>
  <si>
    <t xml:space="preserve">min vol. (m3): </t>
  </si>
  <si>
    <t xml:space="preserve">min face area (m2): </t>
  </si>
  <si>
    <t xml:space="preserve">max (m) = </t>
  </si>
  <si>
    <t xml:space="preserve">total volume (m3): </t>
  </si>
  <si>
    <t>before Simulation</t>
  </si>
  <si>
    <t>Fine Mesh</t>
  </si>
  <si>
    <t>min vol. (m3):  1.467080e-10</t>
  </si>
  <si>
    <t>max vol. (m3):  2.747785e-03</t>
  </si>
  <si>
    <t>total volume (m3): 1.015010e+01</t>
  </si>
  <si>
    <t>min face area (m2):  8.086905e-07</t>
  </si>
  <si>
    <t>max face area (m2): 6.742728e-02</t>
  </si>
  <si>
    <t>Cm</t>
  </si>
  <si>
    <t>Approx relative error</t>
  </si>
  <si>
    <t>Extrapolated Rel error</t>
  </si>
  <si>
    <t>CL n5</t>
  </si>
  <si>
    <t>CL n9</t>
  </si>
  <si>
    <t>CD n5</t>
  </si>
  <si>
    <t>CD n9</t>
  </si>
  <si>
    <t>CM n5</t>
  </si>
  <si>
    <t>CM n9</t>
  </si>
  <si>
    <r>
      <rPr>
        <b/>
        <sz val="12"/>
        <color theme="1"/>
        <rFont val="Aptos"/>
        <family val="2"/>
      </rPr>
      <t>Re:</t>
    </r>
    <r>
      <rPr>
        <sz val="12"/>
        <color theme="1"/>
        <rFont val="Aptos"/>
        <family val="2"/>
      </rPr>
      <t xml:space="preserve"> 200,000 | </t>
    </r>
    <r>
      <rPr>
        <b/>
        <sz val="12"/>
        <color theme="1"/>
        <rFont val="Aptos"/>
        <family val="2"/>
      </rPr>
      <t>μ:</t>
    </r>
    <r>
      <rPr>
        <sz val="12"/>
        <color theme="1"/>
        <rFont val="Aptos"/>
        <family val="2"/>
      </rPr>
      <t xml:space="preserve"> 1.7893e-05  kg/m-s</t>
    </r>
  </si>
  <si>
    <t>u = (Re * μ) /(rho* l)</t>
  </si>
  <si>
    <t>u=</t>
  </si>
  <si>
    <t>Re=</t>
  </si>
  <si>
    <t>μ=</t>
  </si>
  <si>
    <t>rho=</t>
  </si>
  <si>
    <t>l=</t>
  </si>
  <si>
    <t>m/s</t>
  </si>
  <si>
    <t>m</t>
  </si>
  <si>
    <t>kg/m-s</t>
  </si>
  <si>
    <t>kg/m^3</t>
  </si>
  <si>
    <t>Very Fine</t>
  </si>
  <si>
    <t>Cl, very Fine</t>
  </si>
  <si>
    <t>CL (V Fine)</t>
  </si>
  <si>
    <t>CD (V Fine)</t>
  </si>
  <si>
    <t>kw- sst</t>
  </si>
  <si>
    <t>0.00000057857*1000</t>
  </si>
  <si>
    <t>%</t>
  </si>
  <si>
    <t>Chord length</t>
  </si>
  <si>
    <t>kg/m3</t>
  </si>
  <si>
    <t>m2/s</t>
  </si>
  <si>
    <t>m2/s2</t>
  </si>
  <si>
    <t>1/s</t>
  </si>
  <si>
    <t>m2/s3</t>
  </si>
  <si>
    <t>_</t>
  </si>
  <si>
    <t>Cu</t>
  </si>
  <si>
    <t>constant</t>
  </si>
  <si>
    <t>Mixing Length Model</t>
  </si>
  <si>
    <t xml:space="preserve">Unit </t>
  </si>
  <si>
    <t>Properties</t>
  </si>
  <si>
    <t>Symbol</t>
  </si>
  <si>
    <t>µ</t>
  </si>
  <si>
    <t>l</t>
  </si>
  <si>
    <t>U</t>
  </si>
  <si>
    <t xml:space="preserve">Intial Velocity </t>
  </si>
  <si>
    <t>Dynamic Viscosity</t>
  </si>
  <si>
    <t>Density</t>
  </si>
  <si>
    <t>Cµ</t>
  </si>
  <si>
    <t>I</t>
  </si>
  <si>
    <t>Tu_L</t>
  </si>
  <si>
    <t>ϑ</t>
  </si>
  <si>
    <t>k</t>
  </si>
  <si>
    <t>Turbulent kinetic energy</t>
  </si>
  <si>
    <t>Turbulent Intensity</t>
  </si>
  <si>
    <t>Turbulent Length Scale</t>
  </si>
  <si>
    <t>Kinematic Viscosity</t>
  </si>
  <si>
    <t>Dissipation rate</t>
  </si>
  <si>
    <t>ε</t>
  </si>
  <si>
    <t>µt / µ</t>
  </si>
  <si>
    <t>Specific diss rate</t>
  </si>
  <si>
    <t>Eddy viscosity raio</t>
  </si>
  <si>
    <t>ω</t>
  </si>
  <si>
    <t>kw sst</t>
  </si>
  <si>
    <t>ρ</t>
  </si>
  <si>
    <t>γ</t>
  </si>
  <si>
    <t>no of iterations</t>
  </si>
  <si>
    <t>Transition SST</t>
  </si>
  <si>
    <t>TI= 0.5 %
TL= 0.0018 m
CL = 0.94095514
CD=  0.026536134</t>
  </si>
  <si>
    <t>TI=1%
TL= 0.0018 m
CL = 0.94084497
CD=  0.026563079</t>
  </si>
  <si>
    <t>TI= 0.5 %
TL= 0.000885 m
CL = 0.94092802
CD=  0.026521833</t>
  </si>
  <si>
    <t xml:space="preserve">TI= 0.5 %
TL= 0.0036m
CL = 
CD=  </t>
  </si>
  <si>
    <t>aoa =10</t>
  </si>
  <si>
    <t>A0A= 6</t>
  </si>
  <si>
    <t>TI= 0.5 %
TL= 0.0018 m
CL = 0.5964
CD=  0.01812</t>
  </si>
  <si>
    <t>TI= 0.5 %
TL= 0.0036m
CL = 0.5964
CD=  0.01813</t>
  </si>
  <si>
    <t>TI= 1 %
TL= 0.0036m
CL = 0.5964
CD=  0.01817</t>
  </si>
  <si>
    <t>K-w sst, low re correction, gamma eqn
CL= 0.9427
CD =0.03</t>
  </si>
  <si>
    <t>k=1
w=1</t>
  </si>
  <si>
    <t>K-w sst, low re correction, gamma eqn
CL= 0.65033238
CD = 0.015569951</t>
  </si>
  <si>
    <t>not be less than</t>
  </si>
  <si>
    <t>Ncrit</t>
  </si>
  <si>
    <t>TI %</t>
  </si>
  <si>
    <t>Velocity</t>
  </si>
  <si>
    <t>temp @ 5km</t>
  </si>
  <si>
    <t>Density @ 5km</t>
  </si>
  <si>
    <t>Dynamic Viscosity @5km</t>
  </si>
  <si>
    <t xml:space="preserve">-17.47 </t>
  </si>
  <si>
    <t>RE</t>
  </si>
  <si>
    <t>Density @ SSL</t>
  </si>
  <si>
    <t>Dynamic Viscosity @SSL</t>
  </si>
  <si>
    <t>Relative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</si>
</sst>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0.0000"/>
    <numFmt numFmtId="166" formatCode="0.00000000000"/>
    <numFmt numFmtId="167" formatCode="0.000000000"/>
    <numFmt numFmtId="168" formatCode="0.000"/>
    <numFmt numFmtId="169" formatCode="0.00000000"/>
    <numFmt numFmtId="170" formatCode="0.0000E+00"/>
  </numFmts>
  <fonts count="2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ptos Display"/>
      <family val="2"/>
    </font>
    <font>
      <b/>
      <sz val="11"/>
      <name val="Aptos Display"/>
      <family val="2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1"/>
      <name val="Aptos Display"/>
      <family val="2"/>
    </font>
    <font>
      <sz val="8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4D5156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name val="Aptos"/>
      <family val="2"/>
    </font>
    <font>
      <sz val="11"/>
      <name val="Aptos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EED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5">
    <xf numFmtId="0" fontId="0" fillId="0" borderId="0" xfId="0"/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6" xfId="0" applyBorder="1"/>
    <xf numFmtId="0" fontId="0" fillId="2" borderId="7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3" borderId="6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left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2" borderId="20" xfId="0" applyFill="1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23" xfId="0" applyBorder="1" applyAlignment="1">
      <alignment horizontal="left" vertical="center"/>
    </xf>
    <xf numFmtId="0" fontId="0" fillId="0" borderId="24" xfId="0" applyBorder="1"/>
    <xf numFmtId="0" fontId="0" fillId="3" borderId="25" xfId="0" applyFill="1" applyBorder="1"/>
    <xf numFmtId="0" fontId="0" fillId="2" borderId="0" xfId="0" applyFill="1"/>
    <xf numFmtId="0" fontId="0" fillId="0" borderId="19" xfId="0" applyBorder="1"/>
    <xf numFmtId="0" fontId="0" fillId="0" borderId="20" xfId="0" applyBorder="1"/>
    <xf numFmtId="0" fontId="0" fillId="0" borderId="21" xfId="0" applyBorder="1"/>
    <xf numFmtId="165" fontId="0" fillId="0" borderId="36" xfId="0" applyNumberFormat="1" applyBorder="1" applyAlignment="1">
      <alignment horizontal="left"/>
    </xf>
    <xf numFmtId="165" fontId="0" fillId="0" borderId="37" xfId="0" applyNumberFormat="1" applyBorder="1" applyAlignment="1">
      <alignment horizontal="right"/>
    </xf>
    <xf numFmtId="166" fontId="0" fillId="0" borderId="36" xfId="0" applyNumberFormat="1" applyBorder="1" applyAlignment="1">
      <alignment horizontal="left"/>
    </xf>
    <xf numFmtId="0" fontId="0" fillId="0" borderId="37" xfId="0" applyBorder="1" applyAlignment="1">
      <alignment horizontal="right"/>
    </xf>
    <xf numFmtId="0" fontId="0" fillId="0" borderId="36" xfId="0" applyBorder="1" applyAlignment="1">
      <alignment horizontal="left"/>
    </xf>
    <xf numFmtId="166" fontId="0" fillId="0" borderId="37" xfId="0" applyNumberFormat="1" applyBorder="1" applyAlignment="1">
      <alignment horizontal="right"/>
    </xf>
    <xf numFmtId="0" fontId="0" fillId="0" borderId="36" xfId="0" applyBorder="1"/>
    <xf numFmtId="166" fontId="0" fillId="0" borderId="36" xfId="0" applyNumberFormat="1" applyBorder="1"/>
    <xf numFmtId="0" fontId="0" fillId="0" borderId="39" xfId="0" applyBorder="1"/>
    <xf numFmtId="168" fontId="0" fillId="0" borderId="1" xfId="0" applyNumberFormat="1" applyBorder="1" applyAlignment="1">
      <alignment horizontal="left"/>
    </xf>
    <xf numFmtId="167" fontId="0" fillId="0" borderId="40" xfId="0" applyNumberFormat="1" applyBorder="1" applyAlignment="1">
      <alignment horizontal="left"/>
    </xf>
    <xf numFmtId="0" fontId="15" fillId="12" borderId="30" xfId="0" applyFont="1" applyFill="1" applyBorder="1" applyAlignment="1">
      <alignment horizontal="left" vertical="center"/>
    </xf>
    <xf numFmtId="0" fontId="15" fillId="12" borderId="29" xfId="0" applyFont="1" applyFill="1" applyBorder="1" applyAlignment="1">
      <alignment horizontal="left" vertical="center"/>
    </xf>
    <xf numFmtId="0" fontId="15" fillId="12" borderId="3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/>
    <xf numFmtId="0" fontId="0" fillId="13" borderId="29" xfId="0" applyFill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43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/>
    </xf>
    <xf numFmtId="11" fontId="10" fillId="0" borderId="1" xfId="0" applyNumberFormat="1" applyFont="1" applyBorder="1" applyAlignment="1">
      <alignment horizontal="left" vertical="center" wrapText="1"/>
    </xf>
    <xf numFmtId="11" fontId="10" fillId="0" borderId="40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11" fontId="10" fillId="0" borderId="10" xfId="0" applyNumberFormat="1" applyFont="1" applyBorder="1" applyAlignment="1">
      <alignment horizontal="left" vertical="center" wrapText="1"/>
    </xf>
    <xf numFmtId="169" fontId="0" fillId="0" borderId="0" xfId="0" applyNumberFormat="1" applyAlignment="1">
      <alignment horizontal="left" vertical="center"/>
    </xf>
    <xf numFmtId="0" fontId="1" fillId="13" borderId="30" xfId="0" applyFont="1" applyFill="1" applyBorder="1" applyAlignment="1">
      <alignment horizontal="left" vertical="center" wrapText="1"/>
    </xf>
    <xf numFmtId="0" fontId="1" fillId="13" borderId="30" xfId="0" applyFont="1" applyFill="1" applyBorder="1" applyAlignment="1">
      <alignment horizontal="left" vertical="center"/>
    </xf>
    <xf numFmtId="0" fontId="1" fillId="13" borderId="43" xfId="0" applyFont="1" applyFill="1" applyBorder="1" applyAlignment="1">
      <alignment horizontal="left" vertical="center"/>
    </xf>
    <xf numFmtId="0" fontId="1" fillId="13" borderId="29" xfId="0" applyFont="1" applyFill="1" applyBorder="1" applyAlignment="1">
      <alignment horizontal="left" vertical="center"/>
    </xf>
    <xf numFmtId="0" fontId="1" fillId="13" borderId="3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1" fontId="0" fillId="0" borderId="9" xfId="0" applyNumberFormat="1" applyBorder="1" applyAlignment="1">
      <alignment horizontal="left" vertical="center"/>
    </xf>
    <xf numFmtId="3" fontId="0" fillId="0" borderId="36" xfId="0" applyNumberFormat="1" applyBorder="1" applyAlignment="1">
      <alignment horizontal="left" vertical="center"/>
    </xf>
    <xf numFmtId="3" fontId="0" fillId="0" borderId="37" xfId="0" applyNumberFormat="1" applyBorder="1" applyAlignment="1">
      <alignment horizontal="left" vertical="center"/>
    </xf>
    <xf numFmtId="1" fontId="0" fillId="0" borderId="40" xfId="0" applyNumberFormat="1" applyBorder="1" applyAlignment="1">
      <alignment horizontal="left" vertical="center" wrapText="1"/>
    </xf>
    <xf numFmtId="1" fontId="0" fillId="0" borderId="40" xfId="0" applyNumberFormat="1" applyBorder="1" applyAlignment="1">
      <alignment horizontal="left" vertical="center"/>
    </xf>
    <xf numFmtId="1" fontId="0" fillId="0" borderId="42" xfId="0" applyNumberFormat="1" applyBorder="1" applyAlignment="1">
      <alignment horizontal="left" vertical="center"/>
    </xf>
    <xf numFmtId="3" fontId="0" fillId="0" borderId="39" xfId="0" applyNumberForma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0" fillId="13" borderId="43" xfId="0" applyFill="1" applyBorder="1" applyAlignment="1">
      <alignment horizontal="left" vertical="center"/>
    </xf>
    <xf numFmtId="0" fontId="0" fillId="13" borderId="36" xfId="0" applyFill="1" applyBorder="1" applyAlignment="1">
      <alignment horizontal="left" vertical="center"/>
    </xf>
    <xf numFmtId="0" fontId="0" fillId="13" borderId="32" xfId="0" applyFill="1" applyBorder="1" applyAlignment="1">
      <alignment horizontal="left" vertical="center"/>
    </xf>
    <xf numFmtId="0" fontId="0" fillId="13" borderId="39" xfId="0" applyFill="1" applyBorder="1" applyAlignment="1">
      <alignment horizontal="left" vertical="center"/>
    </xf>
    <xf numFmtId="0" fontId="0" fillId="3" borderId="36" xfId="0" applyFill="1" applyBorder="1" applyAlignment="1">
      <alignment horizontal="left" vertical="center"/>
    </xf>
    <xf numFmtId="0" fontId="0" fillId="3" borderId="39" xfId="0" applyFill="1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11" fontId="0" fillId="0" borderId="16" xfId="0" applyNumberFormat="1" applyBorder="1" applyAlignment="1">
      <alignment horizontal="left" vertical="center" wrapText="1"/>
    </xf>
    <xf numFmtId="0" fontId="0" fillId="13" borderId="30" xfId="0" applyFill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0" fontId="0" fillId="14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" fontId="18" fillId="4" borderId="1" xfId="0" applyNumberFormat="1" applyFont="1" applyFill="1" applyBorder="1" applyAlignment="1">
      <alignment horizontal="center" vertical="center"/>
    </xf>
    <xf numFmtId="1" fontId="16" fillId="9" borderId="1" xfId="0" applyNumberFormat="1" applyFont="1" applyFill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21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1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4" fontId="16" fillId="9" borderId="0" xfId="0" applyNumberFormat="1" applyFont="1" applyFill="1" applyAlignment="1">
      <alignment horizontal="center" vertical="center"/>
    </xf>
    <xf numFmtId="1" fontId="0" fillId="0" borderId="10" xfId="0" applyNumberFormat="1" applyBorder="1" applyAlignment="1">
      <alignment horizontal="left" vertical="center" wrapText="1"/>
    </xf>
    <xf numFmtId="1" fontId="0" fillId="0" borderId="10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3" fontId="0" fillId="0" borderId="32" xfId="0" applyNumberFormat="1" applyBorder="1" applyAlignment="1">
      <alignment horizontal="left" vertical="center"/>
    </xf>
    <xf numFmtId="3" fontId="0" fillId="0" borderId="16" xfId="0" applyNumberForma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" fontId="0" fillId="0" borderId="46" xfId="0" applyNumberFormat="1" applyBorder="1" applyAlignment="1">
      <alignment horizontal="left" vertical="center" wrapText="1"/>
    </xf>
    <xf numFmtId="1" fontId="0" fillId="0" borderId="5" xfId="0" applyNumberForma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169" fontId="0" fillId="13" borderId="11" xfId="0" applyNumberFormat="1" applyFill="1" applyBorder="1" applyAlignment="1">
      <alignment horizontal="left" vertical="center"/>
    </xf>
    <xf numFmtId="169" fontId="0" fillId="0" borderId="48" xfId="0" applyNumberFormat="1" applyBorder="1" applyAlignment="1">
      <alignment horizontal="left" vertical="center"/>
    </xf>
    <xf numFmtId="169" fontId="0" fillId="0" borderId="49" xfId="0" applyNumberForma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3" fontId="0" fillId="0" borderId="41" xfId="0" applyNumberFormat="1" applyBorder="1" applyAlignment="1">
      <alignment horizontal="left" vertical="center"/>
    </xf>
    <xf numFmtId="169" fontId="0" fillId="0" borderId="47" xfId="0" applyNumberFormat="1" applyBorder="1" applyAlignment="1">
      <alignment horizontal="left" vertical="center"/>
    </xf>
    <xf numFmtId="11" fontId="0" fillId="0" borderId="1" xfId="0" applyNumberFormat="1" applyBorder="1" applyAlignment="1">
      <alignment horizontal="left"/>
    </xf>
    <xf numFmtId="0" fontId="15" fillId="0" borderId="0" xfId="0" applyFont="1"/>
    <xf numFmtId="0" fontId="24" fillId="0" borderId="0" xfId="0" applyFont="1"/>
    <xf numFmtId="0" fontId="24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4" fontId="16" fillId="0" borderId="51" xfId="0" applyNumberFormat="1" applyFont="1" applyBorder="1" applyAlignment="1">
      <alignment horizontal="center" vertical="center"/>
    </xf>
    <xf numFmtId="164" fontId="16" fillId="0" borderId="50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19" fillId="16" borderId="10" xfId="0" applyNumberFormat="1" applyFont="1" applyFill="1" applyBorder="1" applyAlignment="1">
      <alignment horizontal="center" vertical="center"/>
    </xf>
    <xf numFmtId="164" fontId="16" fillId="16" borderId="10" xfId="0" applyNumberFormat="1" applyFont="1" applyFill="1" applyBorder="1" applyAlignment="1">
      <alignment horizontal="center" vertical="center"/>
    </xf>
    <xf numFmtId="164" fontId="19" fillId="16" borderId="10" xfId="0" applyNumberFormat="1" applyFont="1" applyFill="1" applyBorder="1" applyAlignment="1">
      <alignment horizontal="center" vertical="center" wrapText="1"/>
    </xf>
    <xf numFmtId="1" fontId="16" fillId="9" borderId="50" xfId="0" applyNumberFormat="1" applyFont="1" applyFill="1" applyBorder="1" applyAlignment="1">
      <alignment horizontal="center" vertical="center"/>
    </xf>
    <xf numFmtId="1" fontId="18" fillId="4" borderId="47" xfId="0" applyNumberFormat="1" applyFont="1" applyFill="1" applyBorder="1" applyAlignment="1">
      <alignment horizontal="center" vertical="center"/>
    </xf>
    <xf numFmtId="164" fontId="18" fillId="4" borderId="47" xfId="0" applyNumberFormat="1" applyFont="1" applyFill="1" applyBorder="1" applyAlignment="1">
      <alignment horizontal="center" vertical="center"/>
    </xf>
    <xf numFmtId="1" fontId="16" fillId="9" borderId="47" xfId="0" applyNumberFormat="1" applyFont="1" applyFill="1" applyBorder="1" applyAlignment="1">
      <alignment horizontal="center" vertical="center"/>
    </xf>
    <xf numFmtId="164" fontId="16" fillId="0" borderId="47" xfId="0" applyNumberFormat="1" applyFont="1" applyBorder="1" applyAlignment="1">
      <alignment horizontal="center" vertical="center"/>
    </xf>
    <xf numFmtId="2" fontId="0" fillId="0" borderId="47" xfId="0" applyNumberFormat="1" applyBorder="1"/>
    <xf numFmtId="0" fontId="16" fillId="0" borderId="47" xfId="0" applyFont="1" applyBorder="1" applyAlignment="1">
      <alignment horizontal="center" vertical="center"/>
    </xf>
    <xf numFmtId="0" fontId="0" fillId="0" borderId="47" xfId="0" applyBorder="1"/>
    <xf numFmtId="1" fontId="18" fillId="16" borderId="47" xfId="0" applyNumberFormat="1" applyFont="1" applyFill="1" applyBorder="1" applyAlignment="1">
      <alignment horizontal="center" vertical="center"/>
    </xf>
    <xf numFmtId="164" fontId="18" fillId="16" borderId="47" xfId="0" applyNumberFormat="1" applyFont="1" applyFill="1" applyBorder="1" applyAlignment="1">
      <alignment horizontal="center" vertical="center"/>
    </xf>
    <xf numFmtId="0" fontId="21" fillId="4" borderId="47" xfId="0" applyFont="1" applyFill="1" applyBorder="1" applyAlignment="1">
      <alignment horizontal="center" vertical="center"/>
    </xf>
    <xf numFmtId="0" fontId="18" fillId="4" borderId="47" xfId="0" applyFont="1" applyFill="1" applyBorder="1" applyAlignment="1">
      <alignment horizontal="center" vertical="center"/>
    </xf>
    <xf numFmtId="0" fontId="16" fillId="9" borderId="47" xfId="0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7" fillId="6" borderId="47" xfId="0" applyFont="1" applyFill="1" applyBorder="1" applyAlignment="1">
      <alignment horizontal="center" vertical="center"/>
    </xf>
    <xf numFmtId="0" fontId="22" fillId="6" borderId="47" xfId="0" applyFont="1" applyFill="1" applyBorder="1" applyAlignment="1">
      <alignment horizontal="center" vertical="center"/>
    </xf>
    <xf numFmtId="0" fontId="22" fillId="2" borderId="47" xfId="0" applyFont="1" applyFill="1" applyBorder="1" applyAlignment="1">
      <alignment horizontal="center" vertical="center"/>
    </xf>
    <xf numFmtId="0" fontId="16" fillId="7" borderId="47" xfId="0" applyFont="1" applyFill="1" applyBorder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 wrapText="1"/>
    </xf>
    <xf numFmtId="0" fontId="15" fillId="15" borderId="0" xfId="0" applyFont="1" applyFill="1"/>
    <xf numFmtId="11" fontId="0" fillId="0" borderId="0" xfId="0" applyNumberFormat="1" applyAlignment="1">
      <alignment horizontal="left"/>
    </xf>
    <xf numFmtId="0" fontId="25" fillId="0" borderId="29" xfId="0" applyFont="1" applyBorder="1" applyAlignment="1">
      <alignment horizontal="left"/>
    </xf>
    <xf numFmtId="0" fontId="25" fillId="0" borderId="36" xfId="0" applyFont="1" applyBorder="1"/>
    <xf numFmtId="0" fontId="25" fillId="0" borderId="36" xfId="0" applyFont="1" applyBorder="1" applyAlignment="1">
      <alignment horizontal="left"/>
    </xf>
    <xf numFmtId="0" fontId="25" fillId="0" borderId="1" xfId="0" applyFont="1" applyBorder="1"/>
    <xf numFmtId="0" fontId="25" fillId="0" borderId="37" xfId="0" applyFont="1" applyBorder="1"/>
    <xf numFmtId="0" fontId="25" fillId="0" borderId="39" xfId="0" applyFont="1" applyBorder="1" applyAlignment="1">
      <alignment horizontal="left"/>
    </xf>
    <xf numFmtId="170" fontId="25" fillId="0" borderId="40" xfId="0" applyNumberFormat="1" applyFont="1" applyBorder="1" applyAlignment="1">
      <alignment horizontal="left"/>
    </xf>
    <xf numFmtId="170" fontId="25" fillId="0" borderId="41" xfId="0" applyNumberFormat="1" applyFont="1" applyBorder="1" applyAlignment="1">
      <alignment horizontal="left"/>
    </xf>
    <xf numFmtId="0" fontId="25" fillId="0" borderId="0" xfId="0" applyFont="1" applyAlignment="1">
      <alignment horizontal="left"/>
    </xf>
    <xf numFmtId="11" fontId="25" fillId="0" borderId="0" xfId="0" applyNumberFormat="1" applyFont="1"/>
    <xf numFmtId="0" fontId="25" fillId="0" borderId="0" xfId="0" applyFont="1"/>
    <xf numFmtId="11" fontId="0" fillId="7" borderId="40" xfId="0" applyNumberFormat="1" applyFill="1" applyBorder="1" applyAlignment="1">
      <alignment horizontal="left"/>
    </xf>
    <xf numFmtId="164" fontId="2" fillId="0" borderId="0" xfId="1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0" fillId="0" borderId="38" xfId="0" applyNumberFormat="1" applyBorder="1" applyAlignment="1">
      <alignment horizontal="right" vertical="center"/>
    </xf>
    <xf numFmtId="166" fontId="0" fillId="0" borderId="28" xfId="0" applyNumberForma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169" fontId="0" fillId="0" borderId="20" xfId="0" applyNumberFormat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4" xfId="0" applyFill="1" applyBorder="1" applyAlignment="1">
      <alignment horizontal="left" vertical="center"/>
    </xf>
    <xf numFmtId="0" fontId="0" fillId="3" borderId="45" xfId="0" applyFill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horizontal="center" wrapText="1"/>
    </xf>
    <xf numFmtId="164" fontId="16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/>
    </xf>
    <xf numFmtId="164" fontId="19" fillId="16" borderId="10" xfId="0" applyNumberFormat="1" applyFont="1" applyFill="1" applyBorder="1" applyAlignment="1">
      <alignment horizontal="center" vertical="center"/>
    </xf>
    <xf numFmtId="164" fontId="18" fillId="4" borderId="47" xfId="0" applyNumberFormat="1" applyFont="1" applyFill="1" applyBorder="1" applyAlignment="1">
      <alignment horizontal="center" vertical="center"/>
    </xf>
    <xf numFmtId="164" fontId="18" fillId="16" borderId="47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5" fillId="0" borderId="37" xfId="0" applyFont="1" applyBorder="1" applyAlignment="1">
      <alignment horizontal="center"/>
    </xf>
    <xf numFmtId="11" fontId="25" fillId="0" borderId="1" xfId="0" applyNumberFormat="1" applyFont="1" applyBorder="1" applyAlignment="1">
      <alignment horizontal="center"/>
    </xf>
    <xf numFmtId="11" fontId="25" fillId="0" borderId="37" xfId="0" applyNumberFormat="1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5" fillId="0" borderId="1" xfId="0" quotePrefix="1" applyFont="1" applyBorder="1" applyAlignment="1">
      <alignment horizontal="center"/>
    </xf>
    <xf numFmtId="0" fontId="25" fillId="0" borderId="37" xfId="0" quotePrefix="1" applyFont="1" applyBorder="1" applyAlignment="1">
      <alignment horizontal="center"/>
    </xf>
    <xf numFmtId="0" fontId="0" fillId="10" borderId="1" xfId="0" applyFill="1" applyBorder="1" applyAlignment="1">
      <alignment horizontal="left" vertical="center"/>
    </xf>
    <xf numFmtId="0" fontId="0" fillId="0" borderId="0" xfId="0" applyFill="1"/>
    <xf numFmtId="0" fontId="16" fillId="0" borderId="47" xfId="0" applyFont="1" applyFill="1" applyBorder="1" applyAlignment="1">
      <alignment horizontal="center" vertical="center"/>
    </xf>
    <xf numFmtId="0" fontId="0" fillId="0" borderId="47" xfId="0" applyFill="1" applyBorder="1"/>
    <xf numFmtId="164" fontId="16" fillId="0" borderId="47" xfId="0" applyNumberFormat="1" applyFont="1" applyFill="1" applyBorder="1" applyAlignment="1">
      <alignment horizontal="center" vertical="center"/>
    </xf>
    <xf numFmtId="0" fontId="0" fillId="0" borderId="0" xfId="0" applyBorder="1"/>
    <xf numFmtId="164" fontId="19" fillId="0" borderId="0" xfId="0" applyNumberFormat="1" applyFont="1" applyFill="1" applyBorder="1" applyAlignment="1">
      <alignment horizontal="center" vertical="center"/>
    </xf>
    <xf numFmtId="164" fontId="19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/>
    <xf numFmtId="0" fontId="16" fillId="0" borderId="1" xfId="0" applyFont="1" applyFill="1" applyBorder="1" applyAlignment="1">
      <alignment horizontal="center" vertical="center"/>
    </xf>
    <xf numFmtId="164" fontId="16" fillId="0" borderId="1" xfId="0" applyNumberFormat="1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/>
    </xf>
    <xf numFmtId="10" fontId="0" fillId="0" borderId="0" xfId="0" applyNumberFormat="1"/>
    <xf numFmtId="1" fontId="18" fillId="8" borderId="1" xfId="0" applyNumberFormat="1" applyFont="1" applyFill="1" applyBorder="1" applyAlignment="1">
      <alignment horizontal="center" vertical="center"/>
    </xf>
    <xf numFmtId="164" fontId="18" fillId="8" borderId="1" xfId="0" applyNumberFormat="1" applyFont="1" applyFill="1" applyBorder="1" applyAlignment="1">
      <alignment horizontal="center" vertical="center"/>
    </xf>
    <xf numFmtId="164" fontId="17" fillId="8" borderId="1" xfId="0" applyNumberFormat="1" applyFont="1" applyFill="1" applyBorder="1" applyAlignment="1">
      <alignment horizontal="center" vertical="center"/>
    </xf>
    <xf numFmtId="1" fontId="16" fillId="8" borderId="50" xfId="0" applyNumberFormat="1" applyFont="1" applyFill="1" applyBorder="1" applyAlignment="1">
      <alignment horizontal="center" vertical="center"/>
    </xf>
    <xf numFmtId="2" fontId="0" fillId="0" borderId="50" xfId="0" applyNumberFormat="1" applyBorder="1"/>
    <xf numFmtId="10" fontId="15" fillId="8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/>
    <xf numFmtId="10" fontId="0" fillId="0" borderId="1" xfId="0" quotePrefix="1" applyNumberFormat="1" applyBorder="1"/>
    <xf numFmtId="10" fontId="0" fillId="0" borderId="46" xfId="0" applyNumberFormat="1" applyFill="1" applyBorder="1"/>
  </cellXfs>
  <cellStyles count="2">
    <cellStyle name="Hyperlink" xfId="1" builtinId="8"/>
    <cellStyle name="Normal" xfId="0" builtinId="0"/>
  </cellStyles>
  <dxfs count="3">
    <dxf>
      <fill>
        <patternFill>
          <bgColor theme="9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EEDF"/>
      <color rgb="FFFF7C80"/>
      <color rgb="FFFA8F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CL n5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'COARSE MESH'!$A$2:$A$10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'COARSE MESH'!$B$2:$B$10</c:f>
              <c:numCache>
                <c:formatCode>General</c:formatCode>
                <c:ptCount val="9"/>
                <c:pt idx="0">
                  <c:v>0</c:v>
                </c:pt>
                <c:pt idx="1">
                  <c:v>0.224</c:v>
                </c:pt>
                <c:pt idx="2">
                  <c:v>0.49220000000000003</c:v>
                </c:pt>
                <c:pt idx="3">
                  <c:v>0.6956</c:v>
                </c:pt>
                <c:pt idx="4">
                  <c:v>0.85670000000000002</c:v>
                </c:pt>
                <c:pt idx="5">
                  <c:v>1.0068999999999999</c:v>
                </c:pt>
                <c:pt idx="6">
                  <c:v>1.1072</c:v>
                </c:pt>
                <c:pt idx="7">
                  <c:v>1.1335999999999999</c:v>
                </c:pt>
                <c:pt idx="8">
                  <c:v>1.0106999999999999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0E-4FDF-8E53-243CE0DF9AF4}"/>
            </c:ext>
          </c:extLst>
        </c:ser>
        <c:ser>
          <c:idx val="1"/>
          <c:order val="1"/>
          <c:tx>
            <c:v>CL CFD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'COARSE MESH'!$A$2:$A$10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'COARSE MESH'!$C$2:$C$10</c:f>
              <c:numCache>
                <c:formatCode>General</c:formatCode>
                <c:ptCount val="9"/>
                <c:pt idx="0">
                  <c:v>0</c:v>
                </c:pt>
                <c:pt idx="1">
                  <c:v>0.3085</c:v>
                </c:pt>
                <c:pt idx="2">
                  <c:v>0.53569999999999995</c:v>
                </c:pt>
                <c:pt idx="3">
                  <c:v>0.69710000000000005</c:v>
                </c:pt>
                <c:pt idx="4">
                  <c:v>0.84809999999999997</c:v>
                </c:pt>
                <c:pt idx="5">
                  <c:v>1.0066999999999999</c:v>
                </c:pt>
                <c:pt idx="6">
                  <c:v>1.1068</c:v>
                </c:pt>
                <c:pt idx="7">
                  <c:v>0.96319999999999995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0E-4FDF-8E53-243CE0DF9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563855"/>
        <c:axId val="185757729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'COARSE MESH'!$A$2:$A$10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'COARSE MESH'!$D$2:$D$10</c15:sqref>
                        </c15:formulaRef>
                      </c:ext>
                    </c:extLst>
                    <c:numCache>
                      <c:formatCode>0.000000</c:formatCode>
                      <c:ptCount val="9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470E-4FDF-8E53-243CE0DF9AF4}"/>
                  </c:ext>
                </c:extLst>
              </c15:ser>
            </c15:filteredScatterSeries>
          </c:ext>
        </c:extLst>
      </c:scatterChart>
      <c:valAx>
        <c:axId val="185756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77295"/>
        <c:crosses val="autoZero"/>
        <c:crossBetween val="midCat"/>
      </c:valAx>
      <c:valAx>
        <c:axId val="18575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6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'MEDIUM MESH'!$B$1</c:f>
              <c:strCache>
                <c:ptCount val="1"/>
                <c:pt idx="0">
                  <c:v>CL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'MEDIUM MESH'!$A$2:$A$14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'MEDIUM MESH'!$B$2:$B$14</c:f>
              <c:numCache>
                <c:formatCode>0.000000</c:formatCode>
                <c:ptCount val="1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9-44A5-BEE6-CB6A01DB5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366511"/>
        <c:axId val="1846390079"/>
      </c:scatterChart>
      <c:valAx>
        <c:axId val="199336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390079"/>
        <c:crosses val="autoZero"/>
        <c:crossBetween val="midCat"/>
      </c:valAx>
      <c:valAx>
        <c:axId val="184639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36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CD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'MEDIUM MESH'!$C$1</c:f>
              <c:strCache>
                <c:ptCount val="1"/>
                <c:pt idx="0">
                  <c:v>CD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'MEDIUM MESH'!$A$2:$A$14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'MEDIUM MESH'!$C$2:$C$14</c:f>
              <c:numCache>
                <c:formatCode>0.000000</c:formatCode>
                <c:ptCount val="1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72-40A9-993B-F61DC1539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503439"/>
        <c:axId val="1832488559"/>
      </c:scatterChart>
      <c:valAx>
        <c:axId val="183250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88559"/>
        <c:crosses val="autoZero"/>
        <c:crossBetween val="midCat"/>
      </c:valAx>
      <c:valAx>
        <c:axId val="18324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50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CM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'MEDIUM MESH'!$D$1</c:f>
              <c:strCache>
                <c:ptCount val="1"/>
                <c:pt idx="0">
                  <c:v>CM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'MEDIUM MESH'!$A$2:$A$14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'MEDIUM MESH'!$D$2:$D$14</c:f>
              <c:numCache>
                <c:formatCode>0.000000</c:formatCode>
                <c:ptCount val="1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60-4DC8-8042-710AC13E9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860927"/>
        <c:axId val="1992877727"/>
      </c:scatterChart>
      <c:valAx>
        <c:axId val="199286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877727"/>
        <c:crosses val="autoZero"/>
        <c:crossBetween val="midCat"/>
      </c:valAx>
      <c:valAx>
        <c:axId val="199287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86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222486772486766E-2"/>
          <c:y val="5.131313131313131E-2"/>
          <c:w val="0.84018333333333328"/>
          <c:h val="0.8903237373737373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'MEDIUM MESH'!$C$1</c:f>
              <c:strCache>
                <c:ptCount val="1"/>
                <c:pt idx="0">
                  <c:v>CD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'MEDIUM MESH'!$B$2:$B$13</c:f>
              <c:numCache>
                <c:formatCode>0.000000</c:formatCode>
                <c:ptCount val="11"/>
              </c:numCache>
            </c:numRef>
          </c:xVal>
          <c:yVal>
            <c:numRef>
              <c:f>'MEDIUM MESH'!$C$2:$C$13</c:f>
              <c:numCache>
                <c:formatCode>0.000000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20-4D40-867D-42E2FF003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332479"/>
        <c:axId val="2124331039"/>
      </c:scatterChart>
      <c:valAx>
        <c:axId val="212433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31039"/>
        <c:crosses val="autoZero"/>
        <c:crossBetween val="midCat"/>
      </c:valAx>
      <c:valAx>
        <c:axId val="212433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3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 /CD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'MEDIUM MESH'!$E$1</c:f>
              <c:strCache>
                <c:ptCount val="1"/>
                <c:pt idx="0">
                  <c:v>CL /CD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'MEDIUM MESH'!$A$2:$A$13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'MEDIUM MESH'!$E$2:$E$13</c:f>
              <c:numCache>
                <c:formatCode>0.000000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20-44F0-92DE-76DC78309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072175"/>
        <c:axId val="2135072655"/>
      </c:scatterChart>
      <c:valAx>
        <c:axId val="213507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72655"/>
        <c:crosses val="autoZero"/>
        <c:crossBetween val="midCat"/>
      </c:valAx>
      <c:valAx>
        <c:axId val="213507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72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'FINE MESH'!$B$1</c:f>
              <c:strCache>
                <c:ptCount val="1"/>
                <c:pt idx="0">
                  <c:v>CL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'FINE MESH'!$A$2:$A$14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'FINE MESH'!$B$2:$B$14</c:f>
              <c:numCache>
                <c:formatCode>General</c:formatCode>
                <c:ptCount val="10"/>
                <c:pt idx="0" formatCode="0.00E+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1F-4342-A0D1-4B24F0E57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366511"/>
        <c:axId val="1846390079"/>
      </c:scatterChart>
      <c:valAx>
        <c:axId val="199336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390079"/>
        <c:crosses val="autoZero"/>
        <c:crossBetween val="midCat"/>
      </c:valAx>
      <c:valAx>
        <c:axId val="184639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36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CD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'FINE MESH'!$C$1</c:f>
              <c:strCache>
                <c:ptCount val="1"/>
                <c:pt idx="0">
                  <c:v>CD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'FINE MESH'!$A$2:$A$14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'FINE MESH'!$C$2:$C$14</c:f>
              <c:numCache>
                <c:formatCode>General</c:formatCode>
                <c:ptCount val="1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91-49F3-B87B-695D2511A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503439"/>
        <c:axId val="1832488559"/>
      </c:scatterChart>
      <c:valAx>
        <c:axId val="183250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88559"/>
        <c:crosses val="autoZero"/>
        <c:crossBetween val="midCat"/>
      </c:valAx>
      <c:valAx>
        <c:axId val="18324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50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CM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'FINE MESH'!$D$1</c:f>
              <c:strCache>
                <c:ptCount val="1"/>
                <c:pt idx="0">
                  <c:v>CM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'FINE MESH'!$A$2:$A$14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'FINE MESH'!$D$2:$D$14</c:f>
              <c:numCache>
                <c:formatCode>General</c:formatCode>
                <c:ptCount val="10"/>
                <c:pt idx="0" formatCode="0.00E+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B2-4AD5-B871-4A2D1E2F2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860927"/>
        <c:axId val="1992877727"/>
      </c:scatterChart>
      <c:valAx>
        <c:axId val="199286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877727"/>
        <c:crosses val="autoZero"/>
        <c:crossBetween val="midCat"/>
      </c:valAx>
      <c:valAx>
        <c:axId val="199287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86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222486772486766E-2"/>
          <c:y val="5.131313131313131E-2"/>
          <c:w val="0.84018333333333328"/>
          <c:h val="0.8903237373737373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'FINE MESH'!$C$1</c:f>
              <c:strCache>
                <c:ptCount val="1"/>
                <c:pt idx="0">
                  <c:v>CD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'FINE MESH'!$B$2:$B$13</c:f>
              <c:numCache>
                <c:formatCode>General</c:formatCode>
                <c:ptCount val="9"/>
                <c:pt idx="0" formatCode="0.00E+00">
                  <c:v>0</c:v>
                </c:pt>
              </c:numCache>
            </c:numRef>
          </c:xVal>
          <c:yVal>
            <c:numRef>
              <c:f>'FINE MESH'!$C$2:$C$13</c:f>
              <c:numCache>
                <c:formatCode>General</c:formatCode>
                <c:ptCount val="9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FF-48D1-89EC-E2D4D2354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332479"/>
        <c:axId val="2124331039"/>
      </c:scatterChart>
      <c:valAx>
        <c:axId val="212433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31039"/>
        <c:crosses val="autoZero"/>
        <c:crossBetween val="midCat"/>
      </c:valAx>
      <c:valAx>
        <c:axId val="212433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3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 /CD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'FINE MESH'!$E$1</c:f>
              <c:strCache>
                <c:ptCount val="1"/>
                <c:pt idx="0">
                  <c:v>CL /CD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'FINE MESH'!$A$2:$A$13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'FINE MESH'!$E$2:$E$13</c:f>
              <c:numCache>
                <c:formatCode>0.000000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EB-4A62-9304-EEB5E236E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072175"/>
        <c:axId val="2135072655"/>
      </c:scatterChart>
      <c:valAx>
        <c:axId val="213507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72655"/>
        <c:crosses val="autoZero"/>
        <c:crossBetween val="midCat"/>
      </c:valAx>
      <c:valAx>
        <c:axId val="213507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72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Re: 200,000 |  n5</c:v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'Comparison (2)'!$A$15:$A$23</c:f>
              <c:numCache>
                <c:formatCode>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'Comparison (2)'!$B$15:$B$23</c:f>
              <c:numCache>
                <c:formatCode>0.000000</c:formatCode>
                <c:ptCount val="8"/>
                <c:pt idx="0">
                  <c:v>0</c:v>
                </c:pt>
                <c:pt idx="1">
                  <c:v>0.224</c:v>
                </c:pt>
                <c:pt idx="2">
                  <c:v>0.49220000000000003</c:v>
                </c:pt>
                <c:pt idx="3">
                  <c:v>0.6956</c:v>
                </c:pt>
                <c:pt idx="4">
                  <c:v>0.85670000000000002</c:v>
                </c:pt>
                <c:pt idx="5">
                  <c:v>1.0068999999999999</c:v>
                </c:pt>
                <c:pt idx="6">
                  <c:v>1.1072</c:v>
                </c:pt>
                <c:pt idx="7">
                  <c:v>1.1335999999999999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F9-4E50-97F8-344B5F66923B}"/>
            </c:ext>
          </c:extLst>
        </c:ser>
        <c:ser>
          <c:idx val="4"/>
          <c:order val="1"/>
          <c:tx>
            <c:v>Re: 200,000 |  n9</c:v>
          </c:tx>
          <c:spPr>
            <a:ln w="9525" cap="rnd">
              <a:solidFill>
                <a:schemeClr val="accent5">
                  <a:alpha val="5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'Comparison (2)'!$A$15:$A$23</c:f>
              <c:numCache>
                <c:formatCode>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'Comparison (2)'!$C$15:$C$23</c:f>
              <c:numCache>
                <c:formatCode>0.000000</c:formatCode>
                <c:ptCount val="8"/>
                <c:pt idx="0">
                  <c:v>0</c:v>
                </c:pt>
                <c:pt idx="1">
                  <c:v>0.3085</c:v>
                </c:pt>
                <c:pt idx="2">
                  <c:v>0.53569999999999995</c:v>
                </c:pt>
                <c:pt idx="3">
                  <c:v>0.69710000000000005</c:v>
                </c:pt>
                <c:pt idx="4">
                  <c:v>0.84809999999999997</c:v>
                </c:pt>
                <c:pt idx="5">
                  <c:v>1.0066999999999999</c:v>
                </c:pt>
                <c:pt idx="6">
                  <c:v>1.1068</c:v>
                </c:pt>
                <c:pt idx="7">
                  <c:v>0.96319999999999995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F9-4E50-97F8-344B5F66923B}"/>
            </c:ext>
          </c:extLst>
        </c:ser>
        <c:ser>
          <c:idx val="5"/>
          <c:order val="5"/>
          <c:tx>
            <c:v>V Fine</c:v>
          </c:tx>
          <c:spPr>
            <a:ln w="9525" cap="rnd">
              <a:solidFill>
                <a:schemeClr val="accent6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'Comparison (2)'!$A$15:$A$23</c:f>
              <c:numCache>
                <c:formatCode>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'Comparison (2)'!$D$15:$D$23</c:f>
              <c:numCache>
                <c:formatCode>General</c:formatCode>
                <c:ptCount val="8"/>
                <c:pt idx="0" formatCode="0.00">
                  <c:v>-3.4791218000000002E-6</c:v>
                </c:pt>
                <c:pt idx="1">
                  <c:v>0.30297371000000001</c:v>
                </c:pt>
                <c:pt idx="2">
                  <c:v>0.51520034000000003</c:v>
                </c:pt>
                <c:pt idx="3">
                  <c:v>0.65033238000000004</c:v>
                </c:pt>
                <c:pt idx="4">
                  <c:v>0.80789904000000001</c:v>
                </c:pt>
                <c:pt idx="5">
                  <c:v>0.94274497000000002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AF9-4E50-97F8-344B5F66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777327"/>
        <c:axId val="185577780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2"/>
                <c:tx>
                  <c:v>Coarse</c:v>
                </c:tx>
                <c:spPr>
                  <a:ln w="9525" cap="rnd">
                    <a:solidFill>
                      <a:schemeClr val="accent2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lt1"/>
                    </a:solidFill>
                    <a:ln w="1587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'Comparison (2)'!$A$15:$A$23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'Comparison (2)'!#REF!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7AF9-4E50-97F8-344B5F66923B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Medium</c:v>
                </c:tx>
                <c:spPr>
                  <a:ln w="9525" cap="rnd">
                    <a:solidFill>
                      <a:schemeClr val="accent3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lt1"/>
                    </a:solidFill>
                    <a:ln w="1587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'Comparison (2)'!$A$15:$A$23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'Comparison (2)'!#REF!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F9-4E50-97F8-344B5F66923B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Fine </c:v>
                </c:tx>
                <c:spPr>
                  <a:ln w="9525" cap="rnd">
                    <a:solidFill>
                      <a:schemeClr val="accent4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1587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'Comparison (2)'!$A$15:$A$23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'Comparison (2)'!#REF!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F9-4E50-97F8-344B5F66923B}"/>
                  </c:ext>
                </c:extLst>
              </c15:ser>
            </c15:filteredScatterSeries>
          </c:ext>
        </c:extLst>
      </c:scatterChart>
      <c:valAx>
        <c:axId val="185577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77807"/>
        <c:crosses val="autoZero"/>
        <c:crossBetween val="midCat"/>
      </c:valAx>
      <c:valAx>
        <c:axId val="185577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77327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CD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Re:200,000 | n5</c:v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'Comparison (2)'!$A$27:$A$35</c:f>
              <c:numCache>
                <c:formatCode>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'Comparison (2)'!$B$27:$B$35</c:f>
              <c:numCache>
                <c:formatCode>0.000000</c:formatCode>
                <c:ptCount val="8"/>
                <c:pt idx="0">
                  <c:v>9.1800000000000007E-3</c:v>
                </c:pt>
                <c:pt idx="1">
                  <c:v>1.0109999999999999E-2</c:v>
                </c:pt>
                <c:pt idx="2">
                  <c:v>1.223E-2</c:v>
                </c:pt>
                <c:pt idx="3">
                  <c:v>1.5219999999999999E-2</c:v>
                </c:pt>
                <c:pt idx="4">
                  <c:v>1.9130000000000001E-2</c:v>
                </c:pt>
                <c:pt idx="5">
                  <c:v>2.4809999999999999E-2</c:v>
                </c:pt>
                <c:pt idx="6">
                  <c:v>3.329E-2</c:v>
                </c:pt>
                <c:pt idx="7">
                  <c:v>4.9950000000000001E-2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3E-42C0-A7C9-EFAD45F7DC78}"/>
            </c:ext>
          </c:extLst>
        </c:ser>
        <c:ser>
          <c:idx val="4"/>
          <c:order val="4"/>
          <c:tx>
            <c:strRef>
              <c:f>'Comparison (2)'!$C$26</c:f>
              <c:strCache>
                <c:ptCount val="1"/>
                <c:pt idx="0">
                  <c:v>CD n9</c:v>
                </c:pt>
              </c:strCache>
            </c:strRef>
          </c:tx>
          <c:spPr>
            <a:ln w="9525" cap="rnd">
              <a:solidFill>
                <a:schemeClr val="accent5">
                  <a:alpha val="5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'Comparison (2)'!$A$27:$A$35</c:f>
              <c:numCache>
                <c:formatCode>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'Comparison (2)'!$C$27:$C$35</c:f>
              <c:numCache>
                <c:formatCode>0.000000</c:formatCode>
                <c:ptCount val="8"/>
                <c:pt idx="0">
                  <c:v>1.0200000000000001E-2</c:v>
                </c:pt>
                <c:pt idx="1">
                  <c:v>1.0659999999999999E-2</c:v>
                </c:pt>
                <c:pt idx="2">
                  <c:v>1.176E-2</c:v>
                </c:pt>
                <c:pt idx="3">
                  <c:v>1.516E-2</c:v>
                </c:pt>
                <c:pt idx="4">
                  <c:v>2.112E-2</c:v>
                </c:pt>
                <c:pt idx="5">
                  <c:v>2.9659999999999999E-2</c:v>
                </c:pt>
                <c:pt idx="6">
                  <c:v>4.3659999999999997E-2</c:v>
                </c:pt>
                <c:pt idx="7">
                  <c:v>7.9759999999999998E-2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3E-42C0-A7C9-EFAD45F7DC78}"/>
            </c:ext>
          </c:extLst>
        </c:ser>
        <c:ser>
          <c:idx val="5"/>
          <c:order val="5"/>
          <c:tx>
            <c:strRef>
              <c:f>'Comparison (2)'!$D$26</c:f>
              <c:strCache>
                <c:ptCount val="1"/>
                <c:pt idx="0">
                  <c:v>CD (V Fine)</c:v>
                </c:pt>
              </c:strCache>
            </c:strRef>
          </c:tx>
          <c:spPr>
            <a:ln w="9525" cap="rnd">
              <a:solidFill>
                <a:schemeClr val="accent6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'Comparison (2)'!$A$27:$A$35</c:f>
              <c:numCache>
                <c:formatCode>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'Comparison (2)'!$D$27:$D$35</c:f>
              <c:numCache>
                <c:formatCode>General</c:formatCode>
                <c:ptCount val="8"/>
                <c:pt idx="0">
                  <c:v>0.01</c:v>
                </c:pt>
                <c:pt idx="1">
                  <c:v>1.0690108E-2</c:v>
                </c:pt>
                <c:pt idx="2">
                  <c:v>1.2007455E-2</c:v>
                </c:pt>
                <c:pt idx="3">
                  <c:v>1.5569951E-2</c:v>
                </c:pt>
                <c:pt idx="4">
                  <c:v>2.14501E-2</c:v>
                </c:pt>
                <c:pt idx="5">
                  <c:v>2.9563078999999999E-2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3E-42C0-A7C9-EFAD45F7D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237279"/>
        <c:axId val="184523967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Coarse </c:v>
                </c:tx>
                <c:spPr>
                  <a:ln w="9525" cap="rnd">
                    <a:solidFill>
                      <a:schemeClr val="accent2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lt1"/>
                    </a:solidFill>
                    <a:ln w="1587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'Comparison (2)'!$A$27:$A$35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'Comparison (2)'!#REF!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53E-42C0-A7C9-EFAD45F7DC7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Medium</c:v>
                </c:tx>
                <c:spPr>
                  <a:ln w="9525" cap="rnd">
                    <a:solidFill>
                      <a:schemeClr val="accent3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lt1"/>
                    </a:solidFill>
                    <a:ln w="1587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'Comparison (2)'!$A$27:$A$35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'Comparison (2)'!#REF!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53E-42C0-A7C9-EFAD45F7DC7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Fine</c:v>
                </c:tx>
                <c:spPr>
                  <a:ln w="9525" cap="rnd">
                    <a:solidFill>
                      <a:schemeClr val="accent4"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1587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'Comparison (2)'!$A$27:$A$35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'Comparison (2)'!#REF!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53E-42C0-A7C9-EFAD45F7DC78}"/>
                  </c:ext>
                </c:extLst>
              </c15:ser>
            </c15:filteredScatterSeries>
          </c:ext>
        </c:extLst>
      </c:scatterChart>
      <c:valAx>
        <c:axId val="184523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239679"/>
        <c:crosses val="autoZero"/>
        <c:crossBetween val="midCat"/>
      </c:valAx>
      <c:valAx>
        <c:axId val="18452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237279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S"/>
              <a:t>Cl</a:t>
            </a:r>
            <a:r>
              <a:rPr lang="en-AS" baseline="0"/>
              <a:t> vs AOA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CL n9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Sheet2!$B$4:$B$11</c:f>
              <c:numCache>
                <c:formatCode>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Sheet2!$C$4:$C$11</c:f>
              <c:numCache>
                <c:formatCode>0.000000</c:formatCode>
                <c:ptCount val="8"/>
                <c:pt idx="0">
                  <c:v>0</c:v>
                </c:pt>
                <c:pt idx="1">
                  <c:v>0.3085</c:v>
                </c:pt>
                <c:pt idx="2">
                  <c:v>0.53569999999999995</c:v>
                </c:pt>
                <c:pt idx="3">
                  <c:v>0.69710000000000005</c:v>
                </c:pt>
                <c:pt idx="4">
                  <c:v>0.84809999999999997</c:v>
                </c:pt>
                <c:pt idx="5">
                  <c:v>1.0066999999999999</c:v>
                </c:pt>
                <c:pt idx="6">
                  <c:v>1.1068</c:v>
                </c:pt>
                <c:pt idx="7">
                  <c:v>0.96319999999999995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AA-459F-8622-1107DD0EEB17}"/>
            </c:ext>
          </c:extLst>
        </c:ser>
        <c:ser>
          <c:idx val="1"/>
          <c:order val="1"/>
          <c:tx>
            <c:strRef>
              <c:f>Sheet2!$D$3</c:f>
              <c:strCache>
                <c:ptCount val="1"/>
                <c:pt idx="0">
                  <c:v>CL (V Fine)</c:v>
                </c:pt>
              </c:strCache>
            </c:strRef>
          </c:tx>
          <c:spPr>
            <a:ln w="952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Sheet2!$B$4:$B$11</c:f>
              <c:numCache>
                <c:formatCode>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Sheet2!$D$4:$D$11</c:f>
              <c:numCache>
                <c:formatCode>General</c:formatCode>
                <c:ptCount val="8"/>
                <c:pt idx="0" formatCode="0.00">
                  <c:v>-3.4791218000000002E-6</c:v>
                </c:pt>
                <c:pt idx="1">
                  <c:v>0.30297371000000001</c:v>
                </c:pt>
                <c:pt idx="2">
                  <c:v>0.51520034000000003</c:v>
                </c:pt>
                <c:pt idx="3">
                  <c:v>0.66833237999999995</c:v>
                </c:pt>
                <c:pt idx="4">
                  <c:v>0.80789904000000001</c:v>
                </c:pt>
                <c:pt idx="5">
                  <c:v>0.94274497000000002</c:v>
                </c:pt>
                <c:pt idx="6" formatCode="0.000000">
                  <c:v>1.1100000000000001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AA-459F-8622-1107DD0EE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38080"/>
        <c:axId val="1500435680"/>
      </c:scatterChart>
      <c:valAx>
        <c:axId val="150043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5680"/>
        <c:crosses val="autoZero"/>
        <c:crossBetween val="midCat"/>
      </c:valAx>
      <c:valAx>
        <c:axId val="15004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808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S"/>
              <a:t>Cd</a:t>
            </a:r>
            <a:r>
              <a:rPr lang="en-AS" baseline="0"/>
              <a:t> vs AOA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Sheet2!$C$14</c:f>
              <c:strCache>
                <c:ptCount val="1"/>
                <c:pt idx="0">
                  <c:v>CD n9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Sheet2!$B$15:$B$22</c:f>
              <c:numCache>
                <c:formatCode>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Sheet2!$C$15:$C$22</c:f>
              <c:numCache>
                <c:formatCode>0.000000</c:formatCode>
                <c:ptCount val="8"/>
                <c:pt idx="0">
                  <c:v>1.0200000000000001E-2</c:v>
                </c:pt>
                <c:pt idx="1">
                  <c:v>1.0659999999999999E-2</c:v>
                </c:pt>
                <c:pt idx="2">
                  <c:v>1.176E-2</c:v>
                </c:pt>
                <c:pt idx="3">
                  <c:v>1.516E-2</c:v>
                </c:pt>
                <c:pt idx="4">
                  <c:v>2.112E-2</c:v>
                </c:pt>
                <c:pt idx="5">
                  <c:v>2.9659999999999999E-2</c:v>
                </c:pt>
                <c:pt idx="6">
                  <c:v>4.3659999999999997E-2</c:v>
                </c:pt>
                <c:pt idx="7">
                  <c:v>7.9759999999999998E-2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9E-4AAC-B3C9-640FBBD5DA30}"/>
            </c:ext>
          </c:extLst>
        </c:ser>
        <c:ser>
          <c:idx val="1"/>
          <c:order val="1"/>
          <c:tx>
            <c:strRef>
              <c:f>Sheet2!$D$14</c:f>
              <c:strCache>
                <c:ptCount val="1"/>
                <c:pt idx="0">
                  <c:v>CD (V Fine)</c:v>
                </c:pt>
              </c:strCache>
            </c:strRef>
          </c:tx>
          <c:spPr>
            <a:ln w="952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Sheet2!$B$15:$B$22</c:f>
              <c:numCache>
                <c:formatCode>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Sheet2!$D$15:$D$22</c:f>
              <c:numCache>
                <c:formatCode>General</c:formatCode>
                <c:ptCount val="8"/>
                <c:pt idx="0">
                  <c:v>0.01</c:v>
                </c:pt>
                <c:pt idx="1">
                  <c:v>1.0690108E-2</c:v>
                </c:pt>
                <c:pt idx="2">
                  <c:v>1.2007455E-2</c:v>
                </c:pt>
                <c:pt idx="3">
                  <c:v>1.5569951E-2</c:v>
                </c:pt>
                <c:pt idx="4">
                  <c:v>2.14501E-2</c:v>
                </c:pt>
                <c:pt idx="5">
                  <c:v>2.9563078999999999E-2</c:v>
                </c:pt>
                <c:pt idx="6" formatCode="0.000000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9E-4AAC-B3C9-640FBBD5D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33760"/>
        <c:axId val="1500434720"/>
      </c:scatterChart>
      <c:valAx>
        <c:axId val="150043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4720"/>
        <c:crosses val="autoZero"/>
        <c:crossBetween val="midCat"/>
      </c:valAx>
      <c:valAx>
        <c:axId val="150043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376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CFD Lift Coefficient vs Mesh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GCI!$D$19:$D$23</c:f>
              <c:numCache>
                <c:formatCode>General</c:formatCode>
                <c:ptCount val="5"/>
                <c:pt idx="0">
                  <c:v>1.0000000000000001E-5</c:v>
                </c:pt>
                <c:pt idx="1">
                  <c:v>5.0000000000000004E-6</c:v>
                </c:pt>
                <c:pt idx="2">
                  <c:v>2.5000000000000002E-6</c:v>
                </c:pt>
                <c:pt idx="3">
                  <c:v>1.2500000000000001E-6</c:v>
                </c:pt>
                <c:pt idx="4">
                  <c:v>0</c:v>
                </c:pt>
              </c:numCache>
            </c:numRef>
          </c:xVal>
          <c:yVal>
            <c:numRef>
              <c:f>GCI!$F$19:$F$23</c:f>
              <c:numCache>
                <c:formatCode>General</c:formatCode>
                <c:ptCount val="5"/>
                <c:pt idx="0">
                  <c:v>0.96193841000000002</c:v>
                </c:pt>
                <c:pt idx="1">
                  <c:v>0.96424399999999999</c:v>
                </c:pt>
                <c:pt idx="2">
                  <c:v>0.96492352999999997</c:v>
                </c:pt>
                <c:pt idx="3">
                  <c:v>0.96518285999999998</c:v>
                </c:pt>
                <c:pt idx="4">
                  <c:v>0.96520750538891553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07-48C9-955F-7176CCFA4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73503"/>
        <c:axId val="966692223"/>
      </c:scatterChart>
      <c:valAx>
        <c:axId val="966673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1/N (∝ h)</a:t>
                </a: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692223"/>
        <c:crosses val="autoZero"/>
        <c:crossBetween val="midCat"/>
      </c:valAx>
      <c:valAx>
        <c:axId val="96669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673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CFD Drag Coefficient vs Mesh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GCI!$D$19:$D$23</c:f>
              <c:numCache>
                <c:formatCode>General</c:formatCode>
                <c:ptCount val="5"/>
                <c:pt idx="0">
                  <c:v>1.0000000000000001E-5</c:v>
                </c:pt>
                <c:pt idx="1">
                  <c:v>5.0000000000000004E-6</c:v>
                </c:pt>
                <c:pt idx="2">
                  <c:v>2.5000000000000002E-6</c:v>
                </c:pt>
                <c:pt idx="3">
                  <c:v>1.2500000000000001E-6</c:v>
                </c:pt>
                <c:pt idx="4">
                  <c:v>0</c:v>
                </c:pt>
              </c:numCache>
            </c:numRef>
          </c:xVal>
          <c:yVal>
            <c:numRef>
              <c:f>GCI!$I$19:$I$23</c:f>
              <c:numCache>
                <c:formatCode>General</c:formatCode>
                <c:ptCount val="5"/>
                <c:pt idx="0">
                  <c:v>-3.7246187209403994</c:v>
                </c:pt>
                <c:pt idx="1">
                  <c:v>-3.7337749842259309</c:v>
                </c:pt>
                <c:pt idx="2">
                  <c:v>-3.7356431908749816</c:v>
                </c:pt>
                <c:pt idx="3">
                  <c:v>-3.7353776109401156</c:v>
                </c:pt>
                <c:pt idx="4">
                  <c:v>-3.7361193366356718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36-4DB5-8BEB-77B02F3BE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75903"/>
        <c:axId val="966689343"/>
      </c:scatterChart>
      <c:valAx>
        <c:axId val="966675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1/N (∝ h)</a:t>
                </a: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689343"/>
        <c:crosses val="autoZero"/>
        <c:crossBetween val="midCat"/>
      </c:valAx>
      <c:valAx>
        <c:axId val="96668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Ln (Cd)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675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249381</xdr:colOff>
      <xdr:row>11</xdr:row>
      <xdr:rowOff>41564</xdr:rowOff>
    </xdr:from>
    <xdr:to>
      <xdr:col>10</xdr:col>
      <xdr:colOff>407324</xdr:colOff>
      <xdr:row>31</xdr:row>
      <xdr:rowOff>74814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4D22E3-D733-F29D-264B-04BFA6206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29091</xdr:rowOff>
    </xdr:from>
    <xdr:to>
      <xdr:col>5</xdr:col>
      <xdr:colOff>147338</xdr:colOff>
      <xdr:row>35</xdr:row>
      <xdr:rowOff>165236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3F3934-4E7E-9528-0387-FABF8F99C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241070</xdr:colOff>
      <xdr:row>15</xdr:row>
      <xdr:rowOff>20780</xdr:rowOff>
    </xdr:from>
    <xdr:to>
      <xdr:col>11</xdr:col>
      <xdr:colOff>97463</xdr:colOff>
      <xdr:row>35</xdr:row>
      <xdr:rowOff>156925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5E03C3-03C2-1284-3B0B-09BED971C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324196</xdr:colOff>
      <xdr:row>0</xdr:row>
      <xdr:rowOff>87284</xdr:rowOff>
    </xdr:from>
    <xdr:to>
      <xdr:col>22</xdr:col>
      <xdr:colOff>307571</xdr:colOff>
      <xdr:row>11</xdr:row>
      <xdr:rowOff>133004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8E2F22-F795-A6A1-7CE2-B25B1C725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199507</xdr:colOff>
      <xdr:row>15</xdr:row>
      <xdr:rowOff>33250</xdr:rowOff>
    </xdr:from>
    <xdr:to>
      <xdr:col>16</xdr:col>
      <xdr:colOff>654416</xdr:colOff>
      <xdr:row>35</xdr:row>
      <xdr:rowOff>169395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9DF1C9F-0B8C-1636-B540-0CE966AAA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66503</xdr:colOff>
      <xdr:row>15</xdr:row>
      <xdr:rowOff>33250</xdr:rowOff>
    </xdr:from>
    <xdr:to>
      <xdr:col>22</xdr:col>
      <xdr:colOff>521412</xdr:colOff>
      <xdr:row>35</xdr:row>
      <xdr:rowOff>169395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F55B51-53A6-AEA9-BC19-282542630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29091</xdr:rowOff>
    </xdr:from>
    <xdr:to>
      <xdr:col>5</xdr:col>
      <xdr:colOff>147338</xdr:colOff>
      <xdr:row>35</xdr:row>
      <xdr:rowOff>165236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3B17C-0BFB-4928-912C-D62AF1403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241070</xdr:colOff>
      <xdr:row>15</xdr:row>
      <xdr:rowOff>20780</xdr:rowOff>
    </xdr:from>
    <xdr:to>
      <xdr:col>11</xdr:col>
      <xdr:colOff>97463</xdr:colOff>
      <xdr:row>35</xdr:row>
      <xdr:rowOff>156925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3506B-485C-4E5B-A247-2D043898D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324196</xdr:colOff>
      <xdr:row>0</xdr:row>
      <xdr:rowOff>87284</xdr:rowOff>
    </xdr:from>
    <xdr:to>
      <xdr:col>22</xdr:col>
      <xdr:colOff>307571</xdr:colOff>
      <xdr:row>11</xdr:row>
      <xdr:rowOff>133004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AE51E0-7E62-4128-A3EC-FB2D66520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199507</xdr:colOff>
      <xdr:row>15</xdr:row>
      <xdr:rowOff>33250</xdr:rowOff>
    </xdr:from>
    <xdr:to>
      <xdr:col>16</xdr:col>
      <xdr:colOff>654416</xdr:colOff>
      <xdr:row>35</xdr:row>
      <xdr:rowOff>169395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468761-1A3D-4B81-93E2-4BDAA5A1D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66503</xdr:colOff>
      <xdr:row>15</xdr:row>
      <xdr:rowOff>33250</xdr:rowOff>
    </xdr:from>
    <xdr:to>
      <xdr:col>22</xdr:col>
      <xdr:colOff>521412</xdr:colOff>
      <xdr:row>35</xdr:row>
      <xdr:rowOff>169395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790CF5-EF22-4129-AF48-F30DD9449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20930</xdr:colOff>
      <xdr:row>8</xdr:row>
      <xdr:rowOff>239818</xdr:rowOff>
    </xdr:from>
    <xdr:to>
      <xdr:col>18</xdr:col>
      <xdr:colOff>552450</xdr:colOff>
      <xdr:row>19</xdr:row>
      <xdr:rowOff>257175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98F20-C882-D44D-384B-12E09860B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23567</xdr:colOff>
      <xdr:row>20</xdr:row>
      <xdr:rowOff>161925</xdr:rowOff>
    </xdr:from>
    <xdr:to>
      <xdr:col>18</xdr:col>
      <xdr:colOff>581025</xdr:colOff>
      <xdr:row>35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C6E85A-96D9-0968-6015-D36E0768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469989</xdr:colOff>
      <xdr:row>1</xdr:row>
      <xdr:rowOff>79930</xdr:rowOff>
    </xdr:from>
    <xdr:to>
      <xdr:col>13</xdr:col>
      <xdr:colOff>195030</xdr:colOff>
      <xdr:row>14</xdr:row>
      <xdr:rowOff>156663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EB123-10A4-285E-110D-D1AD08D38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406045</xdr:colOff>
      <xdr:row>15</xdr:row>
      <xdr:rowOff>92718</xdr:rowOff>
    </xdr:from>
    <xdr:to>
      <xdr:col>13</xdr:col>
      <xdr:colOff>131086</xdr:colOff>
      <xdr:row>29</xdr:row>
      <xdr:rowOff>150268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88583E-E9D7-FBF5-1DAE-4E77A4592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542925</xdr:colOff>
      <xdr:row>18</xdr:row>
      <xdr:rowOff>47625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8582025" y="3286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8314</xdr:colOff>
      <xdr:row>25</xdr:row>
      <xdr:rowOff>58185</xdr:rowOff>
    </xdr:from>
    <xdr:to>
      <xdr:col>5</xdr:col>
      <xdr:colOff>1271847</xdr:colOff>
      <xdr:row>45</xdr:row>
      <xdr:rowOff>8312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2BDDB8-95AD-A235-1775-65C9753E3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49876</xdr:colOff>
      <xdr:row>25</xdr:row>
      <xdr:rowOff>8309</xdr:rowOff>
    </xdr:from>
    <xdr:to>
      <xdr:col>9</xdr:col>
      <xdr:colOff>1309254</xdr:colOff>
      <xdr:row>44</xdr:row>
      <xdr:rowOff>91439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D882AE-6F37-7EEB-2071-5FACA622C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ZAS\2D_Airfoil\Grid_refinement.xlsx" TargetMode="External"/><Relationship Id="rId1" Type="http://schemas.openxmlformats.org/officeDocument/2006/relationships/externalLinkPath" Target="/ZAS/2D_Airfoil/Grid_refin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sh info"/>
      <sheetName val="Flow Conditions"/>
      <sheetName val="Single Variable GCI"/>
      <sheetName val="Multi Variable GCI"/>
      <sheetName val="Sheet1"/>
    </sheetNames>
    <sheetDataSet>
      <sheetData sheetId="0">
        <row r="5">
          <cell r="G5">
            <v>100000</v>
          </cell>
        </row>
        <row r="6">
          <cell r="G6">
            <v>200000</v>
          </cell>
        </row>
        <row r="7">
          <cell r="G7">
            <v>400000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irfoiltools.com/airfoil/details?airfoil=n0012-i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airfoiltools.com/airfoil/details?airfoil=n0012-i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airfoiltools.com/airfoil/details?airfoil=n0012-i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opLeftCell="A169" workbookViewId="0">
      <selection activeCell="A2" sqref="A2:B14"/>
    </sheetView>
  </sheetViews>
  <sheetFormatPr defaultRowHeight="15.05" x14ac:dyDescent="0.3"/>
  <sheetData>
    <row r="1" spans="1:5" x14ac:dyDescent="0.3">
      <c r="A1" s="38" t="s">
        <v>103</v>
      </c>
      <c r="B1" s="38" t="s">
        <v>104</v>
      </c>
      <c r="C1" s="38" t="s">
        <v>105</v>
      </c>
      <c r="D1" s="38" t="s">
        <v>106</v>
      </c>
      <c r="E1" s="38" t="s">
        <v>107</v>
      </c>
    </row>
    <row r="2" spans="1:5" x14ac:dyDescent="0.3">
      <c r="A2" s="38">
        <v>1</v>
      </c>
      <c r="B2" s="38">
        <v>1</v>
      </c>
      <c r="C2" s="38">
        <v>180</v>
      </c>
      <c r="D2" s="38">
        <v>0</v>
      </c>
      <c r="E2" s="38">
        <v>0</v>
      </c>
    </row>
    <row r="3" spans="1:5" x14ac:dyDescent="0.3">
      <c r="A3" s="38">
        <v>1</v>
      </c>
      <c r="B3" s="38">
        <v>2</v>
      </c>
      <c r="C3" s="38">
        <v>179.95554000000001</v>
      </c>
      <c r="D3" s="38">
        <v>6.4799999999999996E-3</v>
      </c>
      <c r="E3" s="38">
        <v>0</v>
      </c>
    </row>
    <row r="4" spans="1:5" x14ac:dyDescent="0.3">
      <c r="A4" s="38">
        <v>1</v>
      </c>
      <c r="B4" s="38">
        <v>3</v>
      </c>
      <c r="C4" s="38">
        <v>179.82234</v>
      </c>
      <c r="D4" s="38">
        <v>2.5739999999999999E-2</v>
      </c>
      <c r="E4" s="38">
        <v>0</v>
      </c>
    </row>
    <row r="5" spans="1:5" x14ac:dyDescent="0.3">
      <c r="A5" s="38">
        <v>1</v>
      </c>
      <c r="B5" s="38">
        <v>4</v>
      </c>
      <c r="C5" s="38">
        <v>179.60058000000001</v>
      </c>
      <c r="D5" s="38">
        <v>5.7959999999999998E-2</v>
      </c>
      <c r="E5" s="38">
        <v>0</v>
      </c>
    </row>
    <row r="6" spans="1:5" x14ac:dyDescent="0.3">
      <c r="A6" s="38">
        <v>1</v>
      </c>
      <c r="B6" s="38">
        <v>5</v>
      </c>
      <c r="C6" s="38">
        <v>179.29025999999999</v>
      </c>
      <c r="D6" s="38">
        <v>0.10296</v>
      </c>
      <c r="E6" s="38">
        <v>0</v>
      </c>
    </row>
    <row r="7" spans="1:5" x14ac:dyDescent="0.3">
      <c r="A7" s="38">
        <v>1</v>
      </c>
      <c r="B7" s="38">
        <v>6</v>
      </c>
      <c r="C7" s="38">
        <v>178.89192</v>
      </c>
      <c r="D7" s="38">
        <v>0.16037999999999999</v>
      </c>
      <c r="E7" s="38">
        <v>0</v>
      </c>
    </row>
    <row r="8" spans="1:5" x14ac:dyDescent="0.3">
      <c r="A8" s="38">
        <v>1</v>
      </c>
      <c r="B8" s="38">
        <v>7</v>
      </c>
      <c r="C8" s="38">
        <v>178.40592000000001</v>
      </c>
      <c r="D8" s="38">
        <v>0.23039999999999999</v>
      </c>
      <c r="E8" s="38">
        <v>0</v>
      </c>
    </row>
    <row r="9" spans="1:5" x14ac:dyDescent="0.3">
      <c r="A9" s="38">
        <v>1</v>
      </c>
      <c r="B9" s="38">
        <v>8</v>
      </c>
      <c r="C9" s="38">
        <v>177.83243999999999</v>
      </c>
      <c r="D9" s="38">
        <v>0.31265999999999999</v>
      </c>
      <c r="E9" s="38">
        <v>0</v>
      </c>
    </row>
    <row r="10" spans="1:5" x14ac:dyDescent="0.3">
      <c r="A10" s="38">
        <v>1</v>
      </c>
      <c r="B10" s="38">
        <v>9</v>
      </c>
      <c r="C10" s="38">
        <v>177.17256</v>
      </c>
      <c r="D10" s="38">
        <v>0.40679999999999999</v>
      </c>
      <c r="E10" s="38">
        <v>0</v>
      </c>
    </row>
    <row r="11" spans="1:5" x14ac:dyDescent="0.3">
      <c r="A11" s="38">
        <v>1</v>
      </c>
      <c r="B11" s="38">
        <v>10</v>
      </c>
      <c r="C11" s="38">
        <v>176.42645999999999</v>
      </c>
      <c r="D11" s="38">
        <v>0.51282000000000005</v>
      </c>
      <c r="E11" s="38">
        <v>0</v>
      </c>
    </row>
    <row r="12" spans="1:5" x14ac:dyDescent="0.3">
      <c r="A12" s="38">
        <v>1</v>
      </c>
      <c r="B12" s="38">
        <v>11</v>
      </c>
      <c r="C12" s="38">
        <v>175.59504000000001</v>
      </c>
      <c r="D12" s="38">
        <v>0.63017999999999996</v>
      </c>
      <c r="E12" s="38">
        <v>0</v>
      </c>
    </row>
    <row r="13" spans="1:5" x14ac:dyDescent="0.3">
      <c r="A13" s="38">
        <v>1</v>
      </c>
      <c r="B13" s="38">
        <v>12</v>
      </c>
      <c r="C13" s="38">
        <v>174.67920000000001</v>
      </c>
      <c r="D13" s="38">
        <v>0.75888</v>
      </c>
      <c r="E13" s="38">
        <v>0</v>
      </c>
    </row>
    <row r="14" spans="1:5" x14ac:dyDescent="0.3">
      <c r="A14" s="38">
        <v>1</v>
      </c>
      <c r="B14" s="38">
        <v>13</v>
      </c>
      <c r="C14" s="38">
        <v>173.67984000000001</v>
      </c>
      <c r="D14" s="38">
        <v>0.8982</v>
      </c>
      <c r="E14" s="38">
        <v>0</v>
      </c>
    </row>
    <row r="15" spans="1:5" x14ac:dyDescent="0.3">
      <c r="A15" s="38">
        <v>1</v>
      </c>
      <c r="B15" s="38">
        <v>14</v>
      </c>
      <c r="C15" s="38">
        <v>172.59786</v>
      </c>
      <c r="D15" s="38">
        <v>1.04796</v>
      </c>
      <c r="E15" s="38">
        <v>0</v>
      </c>
    </row>
    <row r="16" spans="1:5" x14ac:dyDescent="0.3">
      <c r="A16" s="38">
        <v>1</v>
      </c>
      <c r="B16" s="38">
        <v>15</v>
      </c>
      <c r="C16" s="38">
        <v>171.43451999999999</v>
      </c>
      <c r="D16" s="38">
        <v>1.2078</v>
      </c>
      <c r="E16" s="38">
        <v>0</v>
      </c>
    </row>
    <row r="17" spans="1:5" x14ac:dyDescent="0.3">
      <c r="A17" s="38">
        <v>1</v>
      </c>
      <c r="B17" s="38">
        <v>16</v>
      </c>
      <c r="C17" s="38">
        <v>170.19054</v>
      </c>
      <c r="D17" s="38">
        <v>1.3771800000000001</v>
      </c>
      <c r="E17" s="38">
        <v>0</v>
      </c>
    </row>
    <row r="18" spans="1:5" x14ac:dyDescent="0.3">
      <c r="A18" s="38">
        <v>1</v>
      </c>
      <c r="B18" s="38">
        <v>17</v>
      </c>
      <c r="C18" s="38">
        <v>168.86753999999999</v>
      </c>
      <c r="D18" s="38">
        <v>1.5557399999999999</v>
      </c>
      <c r="E18" s="38">
        <v>0</v>
      </c>
    </row>
    <row r="19" spans="1:5" x14ac:dyDescent="0.3">
      <c r="A19" s="38">
        <v>1</v>
      </c>
      <c r="B19" s="38">
        <v>18</v>
      </c>
      <c r="C19" s="38">
        <v>167.46678</v>
      </c>
      <c r="D19" s="38">
        <v>1.74312</v>
      </c>
      <c r="E19" s="38">
        <v>0</v>
      </c>
    </row>
    <row r="20" spans="1:5" x14ac:dyDescent="0.3">
      <c r="A20" s="38">
        <v>1</v>
      </c>
      <c r="B20" s="38">
        <v>19</v>
      </c>
      <c r="C20" s="38">
        <v>165.98952</v>
      </c>
      <c r="D20" s="38">
        <v>1.9386000000000001</v>
      </c>
      <c r="E20" s="38">
        <v>0</v>
      </c>
    </row>
    <row r="21" spans="1:5" x14ac:dyDescent="0.3">
      <c r="A21" s="38">
        <v>1</v>
      </c>
      <c r="B21" s="38">
        <v>20</v>
      </c>
      <c r="C21" s="38">
        <v>164.43719999999999</v>
      </c>
      <c r="D21" s="38">
        <v>2.1419999999999999</v>
      </c>
      <c r="E21" s="38">
        <v>0</v>
      </c>
    </row>
    <row r="22" spans="1:5" x14ac:dyDescent="0.3">
      <c r="A22" s="38">
        <v>1</v>
      </c>
      <c r="B22" s="38">
        <v>21</v>
      </c>
      <c r="C22" s="38">
        <v>162.81144</v>
      </c>
      <c r="D22" s="38">
        <v>2.3527800000000001</v>
      </c>
      <c r="E22" s="38">
        <v>0</v>
      </c>
    </row>
    <row r="23" spans="1:5" x14ac:dyDescent="0.3">
      <c r="A23" s="38">
        <v>1</v>
      </c>
      <c r="B23" s="38">
        <v>22</v>
      </c>
      <c r="C23" s="38">
        <v>161.11403999999999</v>
      </c>
      <c r="D23" s="38">
        <v>2.5703999999999998</v>
      </c>
      <c r="E23" s="38">
        <v>0</v>
      </c>
    </row>
    <row r="24" spans="1:5" x14ac:dyDescent="0.3">
      <c r="A24" s="38">
        <v>1</v>
      </c>
      <c r="B24" s="38">
        <v>23</v>
      </c>
      <c r="C24" s="38">
        <v>159.34626</v>
      </c>
      <c r="D24" s="38">
        <v>2.7941400000000001</v>
      </c>
      <c r="E24" s="38">
        <v>0</v>
      </c>
    </row>
    <row r="25" spans="1:5" x14ac:dyDescent="0.3">
      <c r="A25" s="38">
        <v>1</v>
      </c>
      <c r="B25" s="38">
        <v>24</v>
      </c>
      <c r="C25" s="38">
        <v>157.51007999999999</v>
      </c>
      <c r="D25" s="38">
        <v>3.024</v>
      </c>
      <c r="E25" s="38">
        <v>0</v>
      </c>
    </row>
    <row r="26" spans="1:5" x14ac:dyDescent="0.3">
      <c r="A26" s="38">
        <v>1</v>
      </c>
      <c r="B26" s="38">
        <v>25</v>
      </c>
      <c r="C26" s="38">
        <v>155.60712000000001</v>
      </c>
      <c r="D26" s="38">
        <v>3.25908</v>
      </c>
      <c r="E26" s="38">
        <v>0</v>
      </c>
    </row>
    <row r="27" spans="1:5" x14ac:dyDescent="0.3">
      <c r="A27" s="38">
        <v>1</v>
      </c>
      <c r="B27" s="38">
        <v>26</v>
      </c>
      <c r="C27" s="38">
        <v>153.63954000000001</v>
      </c>
      <c r="D27" s="38">
        <v>3.49884</v>
      </c>
      <c r="E27" s="38">
        <v>0</v>
      </c>
    </row>
    <row r="28" spans="1:5" x14ac:dyDescent="0.3">
      <c r="A28" s="38">
        <v>1</v>
      </c>
      <c r="B28" s="38">
        <v>27</v>
      </c>
      <c r="C28" s="38">
        <v>151.60932</v>
      </c>
      <c r="D28" s="38">
        <v>3.7431000000000001</v>
      </c>
      <c r="E28" s="38">
        <v>0</v>
      </c>
    </row>
    <row r="29" spans="1:5" x14ac:dyDescent="0.3">
      <c r="A29" s="38">
        <v>1</v>
      </c>
      <c r="B29" s="38">
        <v>28</v>
      </c>
      <c r="C29" s="38">
        <v>149.51808</v>
      </c>
      <c r="D29" s="38">
        <v>3.9911400000000001</v>
      </c>
      <c r="E29" s="38">
        <v>0</v>
      </c>
    </row>
    <row r="30" spans="1:5" x14ac:dyDescent="0.3">
      <c r="A30" s="38">
        <v>1</v>
      </c>
      <c r="B30" s="38">
        <v>29</v>
      </c>
      <c r="C30" s="38">
        <v>147.36815999999999</v>
      </c>
      <c r="D30" s="38">
        <v>4.2424200000000001</v>
      </c>
      <c r="E30" s="38">
        <v>0</v>
      </c>
    </row>
    <row r="31" spans="1:5" x14ac:dyDescent="0.3">
      <c r="A31" s="38">
        <v>1</v>
      </c>
      <c r="B31" s="38">
        <v>30</v>
      </c>
      <c r="C31" s="38">
        <v>145.16172</v>
      </c>
      <c r="D31" s="38">
        <v>4.4965799999999998</v>
      </c>
      <c r="E31" s="38">
        <v>0</v>
      </c>
    </row>
    <row r="32" spans="1:5" x14ac:dyDescent="0.3">
      <c r="A32" s="38">
        <v>1</v>
      </c>
      <c r="B32" s="38">
        <v>31</v>
      </c>
      <c r="C32" s="38">
        <v>142.90074000000001</v>
      </c>
      <c r="D32" s="38">
        <v>4.7529000000000003</v>
      </c>
      <c r="E32" s="38">
        <v>0</v>
      </c>
    </row>
    <row r="33" spans="1:5" x14ac:dyDescent="0.3">
      <c r="A33" s="38">
        <v>1</v>
      </c>
      <c r="B33" s="38">
        <v>32</v>
      </c>
      <c r="C33" s="38">
        <v>140.58756</v>
      </c>
      <c r="D33" s="38">
        <v>5.01084</v>
      </c>
      <c r="E33" s="38">
        <v>0</v>
      </c>
    </row>
    <row r="34" spans="1:5" x14ac:dyDescent="0.3">
      <c r="A34" s="38">
        <v>1</v>
      </c>
      <c r="B34" s="38">
        <v>33</v>
      </c>
      <c r="C34" s="38">
        <v>138.22434000000001</v>
      </c>
      <c r="D34" s="38">
        <v>5.2702200000000001</v>
      </c>
      <c r="E34" s="38">
        <v>0</v>
      </c>
    </row>
    <row r="35" spans="1:5" x14ac:dyDescent="0.3">
      <c r="A35" s="38">
        <v>1</v>
      </c>
      <c r="B35" s="38">
        <v>34</v>
      </c>
      <c r="C35" s="38">
        <v>135.81378000000001</v>
      </c>
      <c r="D35" s="38">
        <v>5.5301400000000003</v>
      </c>
      <c r="E35" s="38">
        <v>0</v>
      </c>
    </row>
    <row r="36" spans="1:5" x14ac:dyDescent="0.3">
      <c r="A36" s="38">
        <v>1</v>
      </c>
      <c r="B36" s="38">
        <v>35</v>
      </c>
      <c r="C36" s="38">
        <v>133.35785999999999</v>
      </c>
      <c r="D36" s="38">
        <v>5.7902399999999998</v>
      </c>
      <c r="E36" s="38">
        <v>0</v>
      </c>
    </row>
    <row r="37" spans="1:5" x14ac:dyDescent="0.3">
      <c r="A37" s="38">
        <v>1</v>
      </c>
      <c r="B37" s="38">
        <v>36</v>
      </c>
      <c r="C37" s="38">
        <v>130.85910000000001</v>
      </c>
      <c r="D37" s="38">
        <v>6.0498000000000003</v>
      </c>
      <c r="E37" s="38">
        <v>0</v>
      </c>
    </row>
    <row r="38" spans="1:5" x14ac:dyDescent="0.3">
      <c r="A38" s="38">
        <v>1</v>
      </c>
      <c r="B38" s="38">
        <v>37</v>
      </c>
      <c r="C38" s="38">
        <v>128.3202</v>
      </c>
      <c r="D38" s="38">
        <v>6.3086399999999996</v>
      </c>
      <c r="E38" s="38">
        <v>0</v>
      </c>
    </row>
    <row r="39" spans="1:5" x14ac:dyDescent="0.3">
      <c r="A39" s="38">
        <v>1</v>
      </c>
      <c r="B39" s="38">
        <v>38</v>
      </c>
      <c r="C39" s="38">
        <v>125.74332</v>
      </c>
      <c r="D39" s="38">
        <v>6.5660400000000001</v>
      </c>
      <c r="E39" s="38">
        <v>0</v>
      </c>
    </row>
    <row r="40" spans="1:5" x14ac:dyDescent="0.3">
      <c r="A40" s="38">
        <v>1</v>
      </c>
      <c r="B40" s="38">
        <v>39</v>
      </c>
      <c r="C40" s="38">
        <v>123.13115999999999</v>
      </c>
      <c r="D40" s="38">
        <v>6.8212799999999998</v>
      </c>
      <c r="E40" s="38">
        <v>0</v>
      </c>
    </row>
    <row r="41" spans="1:5" x14ac:dyDescent="0.3">
      <c r="A41" s="38">
        <v>1</v>
      </c>
      <c r="B41" s="38">
        <v>40</v>
      </c>
      <c r="C41" s="38">
        <v>120.48642</v>
      </c>
      <c r="D41" s="38">
        <v>7.0739999999999998</v>
      </c>
      <c r="E41" s="38">
        <v>0</v>
      </c>
    </row>
    <row r="42" spans="1:5" x14ac:dyDescent="0.3">
      <c r="A42" s="38">
        <v>1</v>
      </c>
      <c r="B42" s="38">
        <v>41</v>
      </c>
      <c r="C42" s="38">
        <v>117.81144</v>
      </c>
      <c r="D42" s="38">
        <v>7.32348</v>
      </c>
      <c r="E42" s="38">
        <v>0</v>
      </c>
    </row>
    <row r="43" spans="1:5" x14ac:dyDescent="0.3">
      <c r="A43" s="38">
        <v>1</v>
      </c>
      <c r="B43" s="38">
        <v>42</v>
      </c>
      <c r="C43" s="38">
        <v>115.10928</v>
      </c>
      <c r="D43" s="38">
        <v>7.5693599999999996</v>
      </c>
      <c r="E43" s="38">
        <v>0</v>
      </c>
    </row>
    <row r="44" spans="1:5" x14ac:dyDescent="0.3">
      <c r="A44" s="38">
        <v>1</v>
      </c>
      <c r="B44" s="38">
        <v>43</v>
      </c>
      <c r="C44" s="38">
        <v>112.38209999999999</v>
      </c>
      <c r="D44" s="38">
        <v>7.8109200000000003</v>
      </c>
      <c r="E44" s="38">
        <v>0</v>
      </c>
    </row>
    <row r="45" spans="1:5" x14ac:dyDescent="0.3">
      <c r="A45" s="38">
        <v>1</v>
      </c>
      <c r="B45" s="38">
        <v>44</v>
      </c>
      <c r="C45" s="38">
        <v>109.63296</v>
      </c>
      <c r="D45" s="38">
        <v>8.0474399999999999</v>
      </c>
      <c r="E45" s="38">
        <v>0</v>
      </c>
    </row>
    <row r="46" spans="1:5" x14ac:dyDescent="0.3">
      <c r="A46" s="38">
        <v>1</v>
      </c>
      <c r="B46" s="38">
        <v>45</v>
      </c>
      <c r="C46" s="38">
        <v>106.86438</v>
      </c>
      <c r="D46" s="38">
        <v>8.2785600000000006</v>
      </c>
      <c r="E46" s="38">
        <v>0</v>
      </c>
    </row>
    <row r="47" spans="1:5" x14ac:dyDescent="0.3">
      <c r="A47" s="38">
        <v>1</v>
      </c>
      <c r="B47" s="38">
        <v>46</v>
      </c>
      <c r="C47" s="38">
        <v>104.07906</v>
      </c>
      <c r="D47" s="38">
        <v>8.5035600000000002</v>
      </c>
      <c r="E47" s="38">
        <v>0</v>
      </c>
    </row>
    <row r="48" spans="1:5" x14ac:dyDescent="0.3">
      <c r="A48" s="38">
        <v>1</v>
      </c>
      <c r="B48" s="38">
        <v>47</v>
      </c>
      <c r="C48" s="38">
        <v>101.28006000000001</v>
      </c>
      <c r="D48" s="38">
        <v>8.7218999999999998</v>
      </c>
      <c r="E48" s="38">
        <v>0</v>
      </c>
    </row>
    <row r="49" spans="1:5" x14ac:dyDescent="0.3">
      <c r="A49" s="38">
        <v>1</v>
      </c>
      <c r="B49" s="38">
        <v>48</v>
      </c>
      <c r="C49" s="38">
        <v>98.469719999999995</v>
      </c>
      <c r="D49" s="38">
        <v>8.9326799999999995</v>
      </c>
      <c r="E49" s="38">
        <v>0</v>
      </c>
    </row>
    <row r="50" spans="1:5" x14ac:dyDescent="0.3">
      <c r="A50" s="38">
        <v>1</v>
      </c>
      <c r="B50" s="38">
        <v>49</v>
      </c>
      <c r="C50" s="38">
        <v>95.6511</v>
      </c>
      <c r="D50" s="38">
        <v>9.1357199999999992</v>
      </c>
      <c r="E50" s="38">
        <v>0</v>
      </c>
    </row>
    <row r="51" spans="1:5" x14ac:dyDescent="0.3">
      <c r="A51" s="38">
        <v>1</v>
      </c>
      <c r="B51" s="38">
        <v>50</v>
      </c>
      <c r="C51" s="38">
        <v>92.826899999999995</v>
      </c>
      <c r="D51" s="38">
        <v>9.3299400000000006</v>
      </c>
      <c r="E51" s="38">
        <v>0</v>
      </c>
    </row>
    <row r="52" spans="1:5" x14ac:dyDescent="0.3">
      <c r="A52" s="38">
        <v>1</v>
      </c>
      <c r="B52" s="38">
        <v>51</v>
      </c>
      <c r="C52" s="38">
        <v>90</v>
      </c>
      <c r="D52" s="38">
        <v>9.5151599999999998</v>
      </c>
      <c r="E52" s="38">
        <v>0</v>
      </c>
    </row>
    <row r="53" spans="1:5" x14ac:dyDescent="0.3">
      <c r="A53" s="38">
        <v>1</v>
      </c>
      <c r="B53" s="38">
        <v>52</v>
      </c>
      <c r="C53" s="38">
        <v>87.173100000000005</v>
      </c>
      <c r="D53" s="38">
        <v>9.6903000000000006</v>
      </c>
      <c r="E53" s="38">
        <v>0</v>
      </c>
    </row>
    <row r="54" spans="1:5" x14ac:dyDescent="0.3">
      <c r="A54" s="38">
        <v>1</v>
      </c>
      <c r="B54" s="38">
        <v>53</v>
      </c>
      <c r="C54" s="38">
        <v>84.3489</v>
      </c>
      <c r="D54" s="38">
        <v>9.8548200000000001</v>
      </c>
      <c r="E54" s="38">
        <v>0</v>
      </c>
    </row>
    <row r="55" spans="1:5" x14ac:dyDescent="0.3">
      <c r="A55" s="38">
        <v>1</v>
      </c>
      <c r="B55" s="38">
        <v>54</v>
      </c>
      <c r="C55" s="38">
        <v>81.530280000000005</v>
      </c>
      <c r="D55" s="38">
        <v>10.00836</v>
      </c>
      <c r="E55" s="38">
        <v>0</v>
      </c>
    </row>
    <row r="56" spans="1:5" x14ac:dyDescent="0.3">
      <c r="A56" s="38">
        <v>1</v>
      </c>
      <c r="B56" s="38">
        <v>55</v>
      </c>
      <c r="C56" s="38">
        <v>78.719939999999994</v>
      </c>
      <c r="D56" s="38">
        <v>10.1502</v>
      </c>
      <c r="E56" s="38">
        <v>0</v>
      </c>
    </row>
    <row r="57" spans="1:5" x14ac:dyDescent="0.3">
      <c r="A57" s="38">
        <v>1</v>
      </c>
      <c r="B57" s="38">
        <v>56</v>
      </c>
      <c r="C57" s="38">
        <v>75.920940000000002</v>
      </c>
      <c r="D57" s="38">
        <v>10.279439999999999</v>
      </c>
      <c r="E57" s="38">
        <v>0</v>
      </c>
    </row>
    <row r="58" spans="1:5" x14ac:dyDescent="0.3">
      <c r="A58" s="38">
        <v>1</v>
      </c>
      <c r="B58" s="38">
        <v>57</v>
      </c>
      <c r="C58" s="38">
        <v>73.135620000000003</v>
      </c>
      <c r="D58" s="38">
        <v>10.395899999999999</v>
      </c>
      <c r="E58" s="38">
        <v>0</v>
      </c>
    </row>
    <row r="59" spans="1:5" x14ac:dyDescent="0.3">
      <c r="A59" s="38">
        <v>1</v>
      </c>
      <c r="B59" s="38">
        <v>58</v>
      </c>
      <c r="C59" s="38">
        <v>70.367040000000003</v>
      </c>
      <c r="D59" s="38">
        <v>10.49868</v>
      </c>
      <c r="E59" s="38">
        <v>0</v>
      </c>
    </row>
    <row r="60" spans="1:5" x14ac:dyDescent="0.3">
      <c r="A60" s="38">
        <v>1</v>
      </c>
      <c r="B60" s="38">
        <v>59</v>
      </c>
      <c r="C60" s="38">
        <v>67.617900000000006</v>
      </c>
      <c r="D60" s="38">
        <v>10.58742</v>
      </c>
      <c r="E60" s="38">
        <v>0</v>
      </c>
    </row>
    <row r="61" spans="1:5" x14ac:dyDescent="0.3">
      <c r="A61" s="38">
        <v>1</v>
      </c>
      <c r="B61" s="38">
        <v>60</v>
      </c>
      <c r="C61" s="38">
        <v>64.890720000000002</v>
      </c>
      <c r="D61" s="38">
        <v>10.6614</v>
      </c>
      <c r="E61" s="38">
        <v>0</v>
      </c>
    </row>
    <row r="62" spans="1:5" x14ac:dyDescent="0.3">
      <c r="A62" s="38">
        <v>1</v>
      </c>
      <c r="B62" s="38">
        <v>61</v>
      </c>
      <c r="C62" s="38">
        <v>62.188560000000003</v>
      </c>
      <c r="D62" s="38">
        <v>10.72026</v>
      </c>
      <c r="E62" s="38">
        <v>0</v>
      </c>
    </row>
    <row r="63" spans="1:5" x14ac:dyDescent="0.3">
      <c r="A63" s="38">
        <v>1</v>
      </c>
      <c r="B63" s="38">
        <v>62</v>
      </c>
      <c r="C63" s="38">
        <v>59.513579999999997</v>
      </c>
      <c r="D63" s="38">
        <v>10.76346</v>
      </c>
      <c r="E63" s="38">
        <v>0</v>
      </c>
    </row>
    <row r="64" spans="1:5" x14ac:dyDescent="0.3">
      <c r="A64" s="38">
        <v>1</v>
      </c>
      <c r="B64" s="38">
        <v>63</v>
      </c>
      <c r="C64" s="38">
        <v>56.868839999999999</v>
      </c>
      <c r="D64" s="38">
        <v>10.790459999999999</v>
      </c>
      <c r="E64" s="38">
        <v>0</v>
      </c>
    </row>
    <row r="65" spans="1:5" x14ac:dyDescent="0.3">
      <c r="A65" s="38">
        <v>1</v>
      </c>
      <c r="B65" s="38">
        <v>64</v>
      </c>
      <c r="C65" s="38">
        <v>54.256680000000003</v>
      </c>
      <c r="D65" s="38">
        <v>10.801080000000001</v>
      </c>
      <c r="E65" s="38">
        <v>0</v>
      </c>
    </row>
    <row r="66" spans="1:5" x14ac:dyDescent="0.3">
      <c r="A66" s="38">
        <v>1</v>
      </c>
      <c r="B66" s="38">
        <v>65</v>
      </c>
      <c r="C66" s="38">
        <v>51.6798</v>
      </c>
      <c r="D66" s="38">
        <v>10.794779999999999</v>
      </c>
      <c r="E66" s="38">
        <v>0</v>
      </c>
    </row>
    <row r="67" spans="1:5" x14ac:dyDescent="0.3">
      <c r="A67" s="38">
        <v>1</v>
      </c>
      <c r="B67" s="38">
        <v>66</v>
      </c>
      <c r="C67" s="38">
        <v>49.140900000000002</v>
      </c>
      <c r="D67" s="38">
        <v>10.771380000000001</v>
      </c>
      <c r="E67" s="38">
        <v>0</v>
      </c>
    </row>
    <row r="68" spans="1:5" x14ac:dyDescent="0.3">
      <c r="A68" s="38">
        <v>1</v>
      </c>
      <c r="B68" s="38">
        <v>67</v>
      </c>
      <c r="C68" s="38">
        <v>46.642139999999998</v>
      </c>
      <c r="D68" s="38">
        <v>10.73052</v>
      </c>
      <c r="E68" s="38">
        <v>0</v>
      </c>
    </row>
    <row r="69" spans="1:5" x14ac:dyDescent="0.3">
      <c r="A69" s="38">
        <v>1</v>
      </c>
      <c r="B69" s="38">
        <v>68</v>
      </c>
      <c r="C69" s="38">
        <v>44.186219999999999</v>
      </c>
      <c r="D69" s="38">
        <v>10.67184</v>
      </c>
      <c r="E69" s="38">
        <v>0</v>
      </c>
    </row>
    <row r="70" spans="1:5" x14ac:dyDescent="0.3">
      <c r="A70" s="38">
        <v>1</v>
      </c>
      <c r="B70" s="38">
        <v>69</v>
      </c>
      <c r="C70" s="38">
        <v>41.775660000000002</v>
      </c>
      <c r="D70" s="38">
        <v>10.59534</v>
      </c>
      <c r="E70" s="38">
        <v>0</v>
      </c>
    </row>
    <row r="71" spans="1:5" x14ac:dyDescent="0.3">
      <c r="A71" s="38">
        <v>1</v>
      </c>
      <c r="B71" s="38">
        <v>70</v>
      </c>
      <c r="C71" s="38">
        <v>39.412439999999997</v>
      </c>
      <c r="D71" s="38">
        <v>10.50084</v>
      </c>
      <c r="E71" s="38">
        <v>0</v>
      </c>
    </row>
    <row r="72" spans="1:5" x14ac:dyDescent="0.3">
      <c r="A72" s="38">
        <v>1</v>
      </c>
      <c r="B72" s="38">
        <v>71</v>
      </c>
      <c r="C72" s="38">
        <v>37.099260000000001</v>
      </c>
      <c r="D72" s="38">
        <v>10.388159999999999</v>
      </c>
      <c r="E72" s="38">
        <v>0</v>
      </c>
    </row>
    <row r="73" spans="1:5" x14ac:dyDescent="0.3">
      <c r="A73" s="38">
        <v>1</v>
      </c>
      <c r="B73" s="38">
        <v>72</v>
      </c>
      <c r="C73" s="38">
        <v>34.838279999999997</v>
      </c>
      <c r="D73" s="38">
        <v>10.257479999999999</v>
      </c>
      <c r="E73" s="38">
        <v>0</v>
      </c>
    </row>
    <row r="74" spans="1:5" x14ac:dyDescent="0.3">
      <c r="A74" s="38">
        <v>1</v>
      </c>
      <c r="B74" s="38">
        <v>73</v>
      </c>
      <c r="C74" s="38">
        <v>32.631839999999997</v>
      </c>
      <c r="D74" s="38">
        <v>10.10862</v>
      </c>
      <c r="E74" s="38">
        <v>0</v>
      </c>
    </row>
    <row r="75" spans="1:5" x14ac:dyDescent="0.3">
      <c r="A75" s="38">
        <v>1</v>
      </c>
      <c r="B75" s="38">
        <v>74</v>
      </c>
      <c r="C75" s="38">
        <v>30.481919999999999</v>
      </c>
      <c r="D75" s="38">
        <v>9.9417600000000004</v>
      </c>
      <c r="E75" s="38">
        <v>0</v>
      </c>
    </row>
    <row r="76" spans="1:5" x14ac:dyDescent="0.3">
      <c r="A76" s="38">
        <v>1</v>
      </c>
      <c r="B76" s="38">
        <v>75</v>
      </c>
      <c r="C76" s="38">
        <v>28.39068</v>
      </c>
      <c r="D76" s="38">
        <v>9.7570800000000002</v>
      </c>
      <c r="E76" s="38">
        <v>0</v>
      </c>
    </row>
    <row r="77" spans="1:5" x14ac:dyDescent="0.3">
      <c r="A77" s="38">
        <v>1</v>
      </c>
      <c r="B77" s="38">
        <v>76</v>
      </c>
      <c r="C77" s="38">
        <v>26.36046</v>
      </c>
      <c r="D77" s="38">
        <v>9.5549400000000002</v>
      </c>
      <c r="E77" s="38">
        <v>0</v>
      </c>
    </row>
    <row r="78" spans="1:5" x14ac:dyDescent="0.3">
      <c r="A78" s="38">
        <v>1</v>
      </c>
      <c r="B78" s="38">
        <v>77</v>
      </c>
      <c r="C78" s="38">
        <v>24.392880000000002</v>
      </c>
      <c r="D78" s="38">
        <v>9.3351600000000001</v>
      </c>
      <c r="E78" s="38">
        <v>0</v>
      </c>
    </row>
    <row r="79" spans="1:5" x14ac:dyDescent="0.3">
      <c r="A79" s="38">
        <v>1</v>
      </c>
      <c r="B79" s="38">
        <v>78</v>
      </c>
      <c r="C79" s="38">
        <v>22.489920000000001</v>
      </c>
      <c r="D79" s="38">
        <v>9.0982800000000008</v>
      </c>
      <c r="E79" s="38">
        <v>0</v>
      </c>
    </row>
    <row r="80" spans="1:5" x14ac:dyDescent="0.3">
      <c r="A80" s="38">
        <v>1</v>
      </c>
      <c r="B80" s="38">
        <v>79</v>
      </c>
      <c r="C80" s="38">
        <v>20.653739999999999</v>
      </c>
      <c r="D80" s="38">
        <v>8.8448399999999996</v>
      </c>
      <c r="E80" s="38">
        <v>0</v>
      </c>
    </row>
    <row r="81" spans="1:5" x14ac:dyDescent="0.3">
      <c r="A81" s="38">
        <v>1</v>
      </c>
      <c r="B81" s="38">
        <v>80</v>
      </c>
      <c r="C81" s="38">
        <v>18.885960000000001</v>
      </c>
      <c r="D81" s="38">
        <v>8.57484</v>
      </c>
      <c r="E81" s="38">
        <v>0</v>
      </c>
    </row>
    <row r="82" spans="1:5" x14ac:dyDescent="0.3">
      <c r="A82" s="38">
        <v>1</v>
      </c>
      <c r="B82" s="38">
        <v>81</v>
      </c>
      <c r="C82" s="38">
        <v>17.188559999999999</v>
      </c>
      <c r="D82" s="38">
        <v>8.2888199999999994</v>
      </c>
      <c r="E82" s="38">
        <v>0</v>
      </c>
    </row>
    <row r="83" spans="1:5" x14ac:dyDescent="0.3">
      <c r="A83" s="38">
        <v>1</v>
      </c>
      <c r="B83" s="38">
        <v>82</v>
      </c>
      <c r="C83" s="38">
        <v>15.562799999999999</v>
      </c>
      <c r="D83" s="38">
        <v>7.9873200000000004</v>
      </c>
      <c r="E83" s="38">
        <v>0</v>
      </c>
    </row>
    <row r="84" spans="1:5" x14ac:dyDescent="0.3">
      <c r="A84" s="38">
        <v>1</v>
      </c>
      <c r="B84" s="38">
        <v>83</v>
      </c>
      <c r="C84" s="38">
        <v>14.010479999999999</v>
      </c>
      <c r="D84" s="38">
        <v>7.6707000000000001</v>
      </c>
      <c r="E84" s="38">
        <v>0</v>
      </c>
    </row>
    <row r="85" spans="1:5" x14ac:dyDescent="0.3">
      <c r="A85" s="38">
        <v>1</v>
      </c>
      <c r="B85" s="38">
        <v>84</v>
      </c>
      <c r="C85" s="38">
        <v>12.53322</v>
      </c>
      <c r="D85" s="38">
        <v>7.3396800000000004</v>
      </c>
      <c r="E85" s="38">
        <v>0</v>
      </c>
    </row>
    <row r="86" spans="1:5" x14ac:dyDescent="0.3">
      <c r="A86" s="38">
        <v>1</v>
      </c>
      <c r="B86" s="38">
        <v>85</v>
      </c>
      <c r="C86" s="38">
        <v>11.13246</v>
      </c>
      <c r="D86" s="38">
        <v>6.9946200000000003</v>
      </c>
      <c r="E86" s="38">
        <v>0</v>
      </c>
    </row>
    <row r="87" spans="1:5" x14ac:dyDescent="0.3">
      <c r="A87" s="38">
        <v>1</v>
      </c>
      <c r="B87" s="38">
        <v>86</v>
      </c>
      <c r="C87" s="38">
        <v>9.8094599999999996</v>
      </c>
      <c r="D87" s="38">
        <v>6.6360599999999996</v>
      </c>
      <c r="E87" s="38">
        <v>0</v>
      </c>
    </row>
    <row r="88" spans="1:5" x14ac:dyDescent="0.3">
      <c r="A88" s="38">
        <v>1</v>
      </c>
      <c r="B88" s="38">
        <v>87</v>
      </c>
      <c r="C88" s="38">
        <v>8.5654800000000009</v>
      </c>
      <c r="D88" s="38">
        <v>6.2645400000000002</v>
      </c>
      <c r="E88" s="38">
        <v>0</v>
      </c>
    </row>
    <row r="89" spans="1:5" x14ac:dyDescent="0.3">
      <c r="A89" s="38">
        <v>1</v>
      </c>
      <c r="B89" s="38">
        <v>88</v>
      </c>
      <c r="C89" s="38">
        <v>7.4021400000000002</v>
      </c>
      <c r="D89" s="38">
        <v>5.8807799999999997</v>
      </c>
      <c r="E89" s="38">
        <v>0</v>
      </c>
    </row>
    <row r="90" spans="1:5" x14ac:dyDescent="0.3">
      <c r="A90" s="38">
        <v>1</v>
      </c>
      <c r="B90" s="38">
        <v>89</v>
      </c>
      <c r="C90" s="38">
        <v>6.3201599999999996</v>
      </c>
      <c r="D90" s="38">
        <v>5.4851400000000003</v>
      </c>
      <c r="E90" s="38">
        <v>0</v>
      </c>
    </row>
    <row r="91" spans="1:5" x14ac:dyDescent="0.3">
      <c r="A91" s="38">
        <v>1</v>
      </c>
      <c r="B91" s="38">
        <v>90</v>
      </c>
      <c r="C91" s="38">
        <v>5.3208000000000002</v>
      </c>
      <c r="D91" s="38">
        <v>5.0783399999999999</v>
      </c>
      <c r="E91" s="38">
        <v>0</v>
      </c>
    </row>
    <row r="92" spans="1:5" x14ac:dyDescent="0.3">
      <c r="A92" s="38">
        <v>1</v>
      </c>
      <c r="B92" s="38">
        <v>91</v>
      </c>
      <c r="C92" s="38">
        <v>4.40496</v>
      </c>
      <c r="D92" s="38">
        <v>4.6607399999999997</v>
      </c>
      <c r="E92" s="38">
        <v>0</v>
      </c>
    </row>
    <row r="93" spans="1:5" x14ac:dyDescent="0.3">
      <c r="A93" s="38">
        <v>1</v>
      </c>
      <c r="B93" s="38">
        <v>92</v>
      </c>
      <c r="C93" s="38">
        <v>3.5735399999999999</v>
      </c>
      <c r="D93" s="38">
        <v>4.23306</v>
      </c>
      <c r="E93" s="38">
        <v>0</v>
      </c>
    </row>
    <row r="94" spans="1:5" x14ac:dyDescent="0.3">
      <c r="A94" s="38">
        <v>1</v>
      </c>
      <c r="B94" s="38">
        <v>93</v>
      </c>
      <c r="C94" s="38">
        <v>2.8274400000000002</v>
      </c>
      <c r="D94" s="38">
        <v>3.7958400000000001</v>
      </c>
      <c r="E94" s="38">
        <v>0</v>
      </c>
    </row>
    <row r="95" spans="1:5" x14ac:dyDescent="0.3">
      <c r="A95" s="38">
        <v>1</v>
      </c>
      <c r="B95" s="38">
        <v>94</v>
      </c>
      <c r="C95" s="38">
        <v>2.1675599999999999</v>
      </c>
      <c r="D95" s="38">
        <v>3.3492600000000001</v>
      </c>
      <c r="E95" s="38">
        <v>0</v>
      </c>
    </row>
    <row r="96" spans="1:5" x14ac:dyDescent="0.3">
      <c r="A96" s="38">
        <v>1</v>
      </c>
      <c r="B96" s="38">
        <v>95</v>
      </c>
      <c r="C96" s="38">
        <v>1.5940799999999999</v>
      </c>
      <c r="D96" s="38">
        <v>2.8940399999999999</v>
      </c>
      <c r="E96" s="38">
        <v>0</v>
      </c>
    </row>
    <row r="97" spans="1:5" x14ac:dyDescent="0.3">
      <c r="A97" s="38">
        <v>1</v>
      </c>
      <c r="B97" s="38">
        <v>96</v>
      </c>
      <c r="C97" s="38">
        <v>1.10808</v>
      </c>
      <c r="D97" s="38">
        <v>2.4305400000000001</v>
      </c>
      <c r="E97" s="38">
        <v>0</v>
      </c>
    </row>
    <row r="98" spans="1:5" x14ac:dyDescent="0.3">
      <c r="A98" s="38">
        <v>1</v>
      </c>
      <c r="B98" s="38">
        <v>97</v>
      </c>
      <c r="C98" s="38">
        <v>0.70974000000000004</v>
      </c>
      <c r="D98" s="38">
        <v>1.95912</v>
      </c>
      <c r="E98" s="38">
        <v>0</v>
      </c>
    </row>
    <row r="99" spans="1:5" x14ac:dyDescent="0.3">
      <c r="A99" s="38">
        <v>1</v>
      </c>
      <c r="B99" s="38">
        <v>98</v>
      </c>
      <c r="C99" s="38">
        <v>0.39942</v>
      </c>
      <c r="D99" s="38">
        <v>1.48014</v>
      </c>
      <c r="E99" s="38">
        <v>0</v>
      </c>
    </row>
    <row r="100" spans="1:5" x14ac:dyDescent="0.3">
      <c r="A100" s="38">
        <v>1</v>
      </c>
      <c r="B100" s="38">
        <v>99</v>
      </c>
      <c r="C100" s="38">
        <v>0.17766000000000001</v>
      </c>
      <c r="D100" s="38">
        <v>0.99378</v>
      </c>
      <c r="E100" s="38">
        <v>0</v>
      </c>
    </row>
    <row r="101" spans="1:5" x14ac:dyDescent="0.3">
      <c r="A101" s="38">
        <v>1</v>
      </c>
      <c r="B101" s="38">
        <v>100</v>
      </c>
      <c r="C101" s="38">
        <v>4.446E-2</v>
      </c>
      <c r="D101" s="38">
        <v>0.50022</v>
      </c>
      <c r="E101" s="38">
        <v>0</v>
      </c>
    </row>
    <row r="102" spans="1:5" x14ac:dyDescent="0.3">
      <c r="A102" s="38">
        <v>1</v>
      </c>
      <c r="B102" s="38">
        <v>101</v>
      </c>
      <c r="C102" s="38">
        <v>0</v>
      </c>
      <c r="D102" s="38">
        <v>0</v>
      </c>
      <c r="E102" s="38">
        <v>0</v>
      </c>
    </row>
    <row r="103" spans="1:5" x14ac:dyDescent="0.3">
      <c r="A103" s="38">
        <v>1</v>
      </c>
      <c r="B103" s="38">
        <v>102</v>
      </c>
      <c r="C103" s="38">
        <v>4.446E-2</v>
      </c>
      <c r="D103" s="38">
        <v>-0.50022</v>
      </c>
      <c r="E103" s="38">
        <v>0</v>
      </c>
    </row>
    <row r="104" spans="1:5" x14ac:dyDescent="0.3">
      <c r="A104" s="38">
        <v>1</v>
      </c>
      <c r="B104" s="38">
        <v>103</v>
      </c>
      <c r="C104" s="38">
        <v>0.17766000000000001</v>
      </c>
      <c r="D104" s="38">
        <v>-0.99378</v>
      </c>
      <c r="E104" s="38">
        <v>0</v>
      </c>
    </row>
    <row r="105" spans="1:5" x14ac:dyDescent="0.3">
      <c r="A105" s="38">
        <v>1</v>
      </c>
      <c r="B105" s="38">
        <v>104</v>
      </c>
      <c r="C105" s="38">
        <v>0.39942</v>
      </c>
      <c r="D105" s="38">
        <v>-1.48014</v>
      </c>
      <c r="E105" s="38">
        <v>0</v>
      </c>
    </row>
    <row r="106" spans="1:5" x14ac:dyDescent="0.3">
      <c r="A106" s="38">
        <v>1</v>
      </c>
      <c r="B106" s="38">
        <v>105</v>
      </c>
      <c r="C106" s="38">
        <v>0.70974000000000004</v>
      </c>
      <c r="D106" s="38">
        <v>-1.95912</v>
      </c>
      <c r="E106" s="38">
        <v>0</v>
      </c>
    </row>
    <row r="107" spans="1:5" x14ac:dyDescent="0.3">
      <c r="A107" s="38">
        <v>1</v>
      </c>
      <c r="B107" s="38">
        <v>106</v>
      </c>
      <c r="C107" s="38">
        <v>1.10808</v>
      </c>
      <c r="D107" s="38">
        <v>-2.4305400000000001</v>
      </c>
      <c r="E107" s="38">
        <v>0</v>
      </c>
    </row>
    <row r="108" spans="1:5" x14ac:dyDescent="0.3">
      <c r="A108" s="38">
        <v>1</v>
      </c>
      <c r="B108" s="38">
        <v>107</v>
      </c>
      <c r="C108" s="38">
        <v>1.5940799999999999</v>
      </c>
      <c r="D108" s="38">
        <v>-2.8940399999999999</v>
      </c>
      <c r="E108" s="38">
        <v>0</v>
      </c>
    </row>
    <row r="109" spans="1:5" x14ac:dyDescent="0.3">
      <c r="A109" s="38">
        <v>1</v>
      </c>
      <c r="B109" s="38">
        <v>108</v>
      </c>
      <c r="C109" s="38">
        <v>2.1675599999999999</v>
      </c>
      <c r="D109" s="38">
        <v>-3.3492600000000001</v>
      </c>
      <c r="E109" s="38">
        <v>0</v>
      </c>
    </row>
    <row r="110" spans="1:5" x14ac:dyDescent="0.3">
      <c r="A110" s="38">
        <v>1</v>
      </c>
      <c r="B110" s="38">
        <v>109</v>
      </c>
      <c r="C110" s="38">
        <v>2.8274400000000002</v>
      </c>
      <c r="D110" s="38">
        <v>-3.7958400000000001</v>
      </c>
      <c r="E110" s="38">
        <v>0</v>
      </c>
    </row>
    <row r="111" spans="1:5" x14ac:dyDescent="0.3">
      <c r="A111" s="38">
        <v>1</v>
      </c>
      <c r="B111" s="38">
        <v>110</v>
      </c>
      <c r="C111" s="38">
        <v>3.5735399999999999</v>
      </c>
      <c r="D111" s="38">
        <v>-4.23306</v>
      </c>
      <c r="E111" s="38">
        <v>0</v>
      </c>
    </row>
    <row r="112" spans="1:5" x14ac:dyDescent="0.3">
      <c r="A112" s="38">
        <v>1</v>
      </c>
      <c r="B112" s="38">
        <v>111</v>
      </c>
      <c r="C112" s="38">
        <v>4.40496</v>
      </c>
      <c r="D112" s="38">
        <v>-4.6607399999999997</v>
      </c>
      <c r="E112" s="38">
        <v>0</v>
      </c>
    </row>
    <row r="113" spans="1:5" x14ac:dyDescent="0.3">
      <c r="A113" s="38">
        <v>1</v>
      </c>
      <c r="B113" s="38">
        <v>112</v>
      </c>
      <c r="C113" s="38">
        <v>5.3208000000000002</v>
      </c>
      <c r="D113" s="38">
        <v>-5.0783399999999999</v>
      </c>
      <c r="E113" s="38">
        <v>0</v>
      </c>
    </row>
    <row r="114" spans="1:5" x14ac:dyDescent="0.3">
      <c r="A114" s="38">
        <v>1</v>
      </c>
      <c r="B114" s="38">
        <v>113</v>
      </c>
      <c r="C114" s="38">
        <v>6.3201599999999996</v>
      </c>
      <c r="D114" s="38">
        <v>-5.4851400000000003</v>
      </c>
      <c r="E114" s="38">
        <v>0</v>
      </c>
    </row>
    <row r="115" spans="1:5" x14ac:dyDescent="0.3">
      <c r="A115" s="38">
        <v>1</v>
      </c>
      <c r="B115" s="38">
        <v>114</v>
      </c>
      <c r="C115" s="38">
        <v>7.4021400000000002</v>
      </c>
      <c r="D115" s="38">
        <v>-5.8807799999999997</v>
      </c>
      <c r="E115" s="38">
        <v>0</v>
      </c>
    </row>
    <row r="116" spans="1:5" x14ac:dyDescent="0.3">
      <c r="A116" s="38">
        <v>1</v>
      </c>
      <c r="B116" s="38">
        <v>115</v>
      </c>
      <c r="C116" s="38">
        <v>8.5654800000000009</v>
      </c>
      <c r="D116" s="38">
        <v>-6.2645400000000002</v>
      </c>
      <c r="E116" s="38">
        <v>0</v>
      </c>
    </row>
    <row r="117" spans="1:5" x14ac:dyDescent="0.3">
      <c r="A117" s="38">
        <v>1</v>
      </c>
      <c r="B117" s="38">
        <v>116</v>
      </c>
      <c r="C117" s="38">
        <v>9.8094599999999996</v>
      </c>
      <c r="D117" s="38">
        <v>-6.6360599999999996</v>
      </c>
      <c r="E117" s="38">
        <v>0</v>
      </c>
    </row>
    <row r="118" spans="1:5" x14ac:dyDescent="0.3">
      <c r="A118" s="38">
        <v>1</v>
      </c>
      <c r="B118" s="38">
        <v>117</v>
      </c>
      <c r="C118" s="38">
        <v>11.13246</v>
      </c>
      <c r="D118" s="38">
        <v>-6.9946200000000003</v>
      </c>
      <c r="E118" s="38">
        <v>0</v>
      </c>
    </row>
    <row r="119" spans="1:5" x14ac:dyDescent="0.3">
      <c r="A119" s="38">
        <v>1</v>
      </c>
      <c r="B119" s="38">
        <v>118</v>
      </c>
      <c r="C119" s="38">
        <v>12.53322</v>
      </c>
      <c r="D119" s="38">
        <v>-7.3396800000000004</v>
      </c>
      <c r="E119" s="38">
        <v>0</v>
      </c>
    </row>
    <row r="120" spans="1:5" x14ac:dyDescent="0.3">
      <c r="A120" s="38">
        <v>1</v>
      </c>
      <c r="B120" s="38">
        <v>119</v>
      </c>
      <c r="C120" s="38">
        <v>14.010479999999999</v>
      </c>
      <c r="D120" s="38">
        <v>-7.6707000000000001</v>
      </c>
      <c r="E120" s="38">
        <v>0</v>
      </c>
    </row>
    <row r="121" spans="1:5" x14ac:dyDescent="0.3">
      <c r="A121" s="38">
        <v>1</v>
      </c>
      <c r="B121" s="38">
        <v>120</v>
      </c>
      <c r="C121" s="38">
        <v>15.562799999999999</v>
      </c>
      <c r="D121" s="38">
        <v>-7.9873200000000004</v>
      </c>
      <c r="E121" s="38">
        <v>0</v>
      </c>
    </row>
    <row r="122" spans="1:5" x14ac:dyDescent="0.3">
      <c r="A122" s="38">
        <v>1</v>
      </c>
      <c r="B122" s="38">
        <v>121</v>
      </c>
      <c r="C122" s="38">
        <v>17.188559999999999</v>
      </c>
      <c r="D122" s="38">
        <v>-8.2888199999999994</v>
      </c>
      <c r="E122" s="38">
        <v>0</v>
      </c>
    </row>
    <row r="123" spans="1:5" x14ac:dyDescent="0.3">
      <c r="A123" s="38">
        <v>1</v>
      </c>
      <c r="B123" s="38">
        <v>122</v>
      </c>
      <c r="C123" s="38">
        <v>18.885960000000001</v>
      </c>
      <c r="D123" s="38">
        <v>-8.57484</v>
      </c>
      <c r="E123" s="38">
        <v>0</v>
      </c>
    </row>
    <row r="124" spans="1:5" x14ac:dyDescent="0.3">
      <c r="A124" s="38">
        <v>1</v>
      </c>
      <c r="B124" s="38">
        <v>123</v>
      </c>
      <c r="C124" s="38">
        <v>20.653739999999999</v>
      </c>
      <c r="D124" s="38">
        <v>-8.8448399999999996</v>
      </c>
      <c r="E124" s="38">
        <v>0</v>
      </c>
    </row>
    <row r="125" spans="1:5" x14ac:dyDescent="0.3">
      <c r="A125" s="38">
        <v>1</v>
      </c>
      <c r="B125" s="38">
        <v>124</v>
      </c>
      <c r="C125" s="38">
        <v>22.489920000000001</v>
      </c>
      <c r="D125" s="38">
        <v>-9.0982800000000008</v>
      </c>
      <c r="E125" s="38">
        <v>0</v>
      </c>
    </row>
    <row r="126" spans="1:5" x14ac:dyDescent="0.3">
      <c r="A126" s="38">
        <v>1</v>
      </c>
      <c r="B126" s="38">
        <v>125</v>
      </c>
      <c r="C126" s="38">
        <v>24.392880000000002</v>
      </c>
      <c r="D126" s="38">
        <v>-9.3351600000000001</v>
      </c>
      <c r="E126" s="38">
        <v>0</v>
      </c>
    </row>
    <row r="127" spans="1:5" x14ac:dyDescent="0.3">
      <c r="A127" s="38">
        <v>1</v>
      </c>
      <c r="B127" s="38">
        <v>126</v>
      </c>
      <c r="C127" s="38">
        <v>26.36046</v>
      </c>
      <c r="D127" s="38">
        <v>-9.5549400000000002</v>
      </c>
      <c r="E127" s="38">
        <v>0</v>
      </c>
    </row>
    <row r="128" spans="1:5" x14ac:dyDescent="0.3">
      <c r="A128" s="38">
        <v>1</v>
      </c>
      <c r="B128" s="38">
        <v>127</v>
      </c>
      <c r="C128" s="38">
        <v>28.39068</v>
      </c>
      <c r="D128" s="38">
        <v>-9.7570800000000002</v>
      </c>
      <c r="E128" s="38">
        <v>0</v>
      </c>
    </row>
    <row r="129" spans="1:5" x14ac:dyDescent="0.3">
      <c r="A129" s="38">
        <v>1</v>
      </c>
      <c r="B129" s="38">
        <v>128</v>
      </c>
      <c r="C129" s="38">
        <v>30.481919999999999</v>
      </c>
      <c r="D129" s="38">
        <v>-9.9417600000000004</v>
      </c>
      <c r="E129" s="38">
        <v>0</v>
      </c>
    </row>
    <row r="130" spans="1:5" x14ac:dyDescent="0.3">
      <c r="A130" s="38">
        <v>1</v>
      </c>
      <c r="B130" s="38">
        <v>129</v>
      </c>
      <c r="C130" s="38">
        <v>32.631839999999997</v>
      </c>
      <c r="D130" s="38">
        <v>-10.10862</v>
      </c>
      <c r="E130" s="38">
        <v>0</v>
      </c>
    </row>
    <row r="131" spans="1:5" x14ac:dyDescent="0.3">
      <c r="A131" s="38">
        <v>1</v>
      </c>
      <c r="B131" s="38">
        <v>130</v>
      </c>
      <c r="C131" s="38">
        <v>34.838279999999997</v>
      </c>
      <c r="D131" s="38">
        <v>-10.257479999999999</v>
      </c>
      <c r="E131" s="38">
        <v>0</v>
      </c>
    </row>
    <row r="132" spans="1:5" x14ac:dyDescent="0.3">
      <c r="A132" s="38">
        <v>1</v>
      </c>
      <c r="B132" s="38">
        <v>131</v>
      </c>
      <c r="C132" s="38">
        <v>37.099260000000001</v>
      </c>
      <c r="D132" s="38">
        <v>-10.388159999999999</v>
      </c>
      <c r="E132" s="38">
        <v>0</v>
      </c>
    </row>
    <row r="133" spans="1:5" x14ac:dyDescent="0.3">
      <c r="A133" s="38">
        <v>1</v>
      </c>
      <c r="B133" s="38">
        <v>132</v>
      </c>
      <c r="C133" s="38">
        <v>39.412439999999997</v>
      </c>
      <c r="D133" s="38">
        <v>-10.50084</v>
      </c>
      <c r="E133" s="38">
        <v>0</v>
      </c>
    </row>
    <row r="134" spans="1:5" x14ac:dyDescent="0.3">
      <c r="A134" s="38">
        <v>1</v>
      </c>
      <c r="B134" s="38">
        <v>133</v>
      </c>
      <c r="C134" s="38">
        <v>41.775660000000002</v>
      </c>
      <c r="D134" s="38">
        <v>-10.59534</v>
      </c>
      <c r="E134" s="38">
        <v>0</v>
      </c>
    </row>
    <row r="135" spans="1:5" x14ac:dyDescent="0.3">
      <c r="A135" s="38">
        <v>1</v>
      </c>
      <c r="B135" s="38">
        <v>134</v>
      </c>
      <c r="C135" s="38">
        <v>44.186219999999999</v>
      </c>
      <c r="D135" s="38">
        <v>-10.67184</v>
      </c>
      <c r="E135" s="38">
        <v>0</v>
      </c>
    </row>
    <row r="136" spans="1:5" x14ac:dyDescent="0.3">
      <c r="A136" s="38">
        <v>1</v>
      </c>
      <c r="B136" s="38">
        <v>135</v>
      </c>
      <c r="C136" s="38">
        <v>46.642139999999998</v>
      </c>
      <c r="D136" s="38">
        <v>-10.73052</v>
      </c>
      <c r="E136" s="38">
        <v>0</v>
      </c>
    </row>
    <row r="137" spans="1:5" x14ac:dyDescent="0.3">
      <c r="A137" s="38">
        <v>1</v>
      </c>
      <c r="B137" s="38">
        <v>136</v>
      </c>
      <c r="C137" s="38">
        <v>49.140900000000002</v>
      </c>
      <c r="D137" s="38">
        <v>-10.771380000000001</v>
      </c>
      <c r="E137" s="38">
        <v>0</v>
      </c>
    </row>
    <row r="138" spans="1:5" x14ac:dyDescent="0.3">
      <c r="A138" s="38">
        <v>1</v>
      </c>
      <c r="B138" s="38">
        <v>137</v>
      </c>
      <c r="C138" s="38">
        <v>51.6798</v>
      </c>
      <c r="D138" s="38">
        <v>-10.794779999999999</v>
      </c>
      <c r="E138" s="38">
        <v>0</v>
      </c>
    </row>
    <row r="139" spans="1:5" x14ac:dyDescent="0.3">
      <c r="A139" s="38">
        <v>1</v>
      </c>
      <c r="B139" s="38">
        <v>138</v>
      </c>
      <c r="C139" s="38">
        <v>54.256680000000003</v>
      </c>
      <c r="D139" s="38">
        <v>-10.801080000000001</v>
      </c>
      <c r="E139" s="38">
        <v>0</v>
      </c>
    </row>
    <row r="140" spans="1:5" x14ac:dyDescent="0.3">
      <c r="A140" s="38">
        <v>1</v>
      </c>
      <c r="B140" s="38">
        <v>139</v>
      </c>
      <c r="C140" s="38">
        <v>56.868839999999999</v>
      </c>
      <c r="D140" s="38">
        <v>-10.790459999999999</v>
      </c>
      <c r="E140" s="38">
        <v>0</v>
      </c>
    </row>
    <row r="141" spans="1:5" x14ac:dyDescent="0.3">
      <c r="A141" s="38">
        <v>1</v>
      </c>
      <c r="B141" s="38">
        <v>140</v>
      </c>
      <c r="C141" s="38">
        <v>59.513579999999997</v>
      </c>
      <c r="D141" s="38">
        <v>-10.76346</v>
      </c>
      <c r="E141" s="38">
        <v>0</v>
      </c>
    </row>
    <row r="142" spans="1:5" x14ac:dyDescent="0.3">
      <c r="A142" s="38">
        <v>1</v>
      </c>
      <c r="B142" s="38">
        <v>141</v>
      </c>
      <c r="C142" s="38">
        <v>62.188560000000003</v>
      </c>
      <c r="D142" s="38">
        <v>-10.72026</v>
      </c>
      <c r="E142" s="38">
        <v>0</v>
      </c>
    </row>
    <row r="143" spans="1:5" x14ac:dyDescent="0.3">
      <c r="A143" s="38">
        <v>1</v>
      </c>
      <c r="B143" s="38">
        <v>142</v>
      </c>
      <c r="C143" s="38">
        <v>64.890720000000002</v>
      </c>
      <c r="D143" s="38">
        <v>-10.6614</v>
      </c>
      <c r="E143" s="38">
        <v>0</v>
      </c>
    </row>
    <row r="144" spans="1:5" x14ac:dyDescent="0.3">
      <c r="A144" s="38">
        <v>1</v>
      </c>
      <c r="B144" s="38">
        <v>143</v>
      </c>
      <c r="C144" s="38">
        <v>67.617900000000006</v>
      </c>
      <c r="D144" s="38">
        <v>-10.58742</v>
      </c>
      <c r="E144" s="38">
        <v>0</v>
      </c>
    </row>
    <row r="145" spans="1:5" x14ac:dyDescent="0.3">
      <c r="A145" s="38">
        <v>1</v>
      </c>
      <c r="B145" s="38">
        <v>144</v>
      </c>
      <c r="C145" s="38">
        <v>70.367040000000003</v>
      </c>
      <c r="D145" s="38">
        <v>-10.49868</v>
      </c>
      <c r="E145" s="38">
        <v>0</v>
      </c>
    </row>
    <row r="146" spans="1:5" x14ac:dyDescent="0.3">
      <c r="A146" s="38">
        <v>1</v>
      </c>
      <c r="B146" s="38">
        <v>145</v>
      </c>
      <c r="C146" s="38">
        <v>73.135620000000003</v>
      </c>
      <c r="D146" s="38">
        <v>-10.395899999999999</v>
      </c>
      <c r="E146" s="38">
        <v>0</v>
      </c>
    </row>
    <row r="147" spans="1:5" x14ac:dyDescent="0.3">
      <c r="A147" s="38">
        <v>1</v>
      </c>
      <c r="B147" s="38">
        <v>146</v>
      </c>
      <c r="C147" s="38">
        <v>75.920940000000002</v>
      </c>
      <c r="D147" s="38">
        <v>-10.279439999999999</v>
      </c>
      <c r="E147" s="38">
        <v>0</v>
      </c>
    </row>
    <row r="148" spans="1:5" x14ac:dyDescent="0.3">
      <c r="A148" s="38">
        <v>1</v>
      </c>
      <c r="B148" s="38">
        <v>147</v>
      </c>
      <c r="C148" s="38">
        <v>78.719939999999994</v>
      </c>
      <c r="D148" s="38">
        <v>-10.1502</v>
      </c>
      <c r="E148" s="38">
        <v>0</v>
      </c>
    </row>
    <row r="149" spans="1:5" x14ac:dyDescent="0.3">
      <c r="A149" s="38">
        <v>1</v>
      </c>
      <c r="B149" s="38">
        <v>148</v>
      </c>
      <c r="C149" s="38">
        <v>81.530280000000005</v>
      </c>
      <c r="D149" s="38">
        <v>-10.00836</v>
      </c>
      <c r="E149" s="38">
        <v>0</v>
      </c>
    </row>
    <row r="150" spans="1:5" x14ac:dyDescent="0.3">
      <c r="A150" s="38">
        <v>1</v>
      </c>
      <c r="B150" s="38">
        <v>149</v>
      </c>
      <c r="C150" s="38">
        <v>84.3489</v>
      </c>
      <c r="D150" s="38">
        <v>-9.8548200000000001</v>
      </c>
      <c r="E150" s="38">
        <v>0</v>
      </c>
    </row>
    <row r="151" spans="1:5" x14ac:dyDescent="0.3">
      <c r="A151" s="38">
        <v>1</v>
      </c>
      <c r="B151" s="38">
        <v>150</v>
      </c>
      <c r="C151" s="38">
        <v>87.173100000000005</v>
      </c>
      <c r="D151" s="38">
        <v>-9.6903000000000006</v>
      </c>
      <c r="E151" s="38">
        <v>0</v>
      </c>
    </row>
    <row r="152" spans="1:5" x14ac:dyDescent="0.3">
      <c r="A152" s="38">
        <v>1</v>
      </c>
      <c r="B152" s="38">
        <v>151</v>
      </c>
      <c r="C152" s="38">
        <v>90</v>
      </c>
      <c r="D152" s="38">
        <v>-9.5151599999999998</v>
      </c>
      <c r="E152" s="38">
        <v>0</v>
      </c>
    </row>
    <row r="153" spans="1:5" x14ac:dyDescent="0.3">
      <c r="A153" s="38">
        <v>1</v>
      </c>
      <c r="B153" s="38">
        <v>152</v>
      </c>
      <c r="C153" s="38">
        <v>92.826899999999995</v>
      </c>
      <c r="D153" s="38">
        <v>-9.3299400000000006</v>
      </c>
      <c r="E153" s="38">
        <v>0</v>
      </c>
    </row>
    <row r="154" spans="1:5" x14ac:dyDescent="0.3">
      <c r="A154" s="38">
        <v>1</v>
      </c>
      <c r="B154" s="38">
        <v>153</v>
      </c>
      <c r="C154" s="38">
        <v>95.6511</v>
      </c>
      <c r="D154" s="38">
        <v>-9.1357199999999992</v>
      </c>
      <c r="E154" s="38">
        <v>0</v>
      </c>
    </row>
    <row r="155" spans="1:5" x14ac:dyDescent="0.3">
      <c r="A155" s="38">
        <v>1</v>
      </c>
      <c r="B155" s="38">
        <v>154</v>
      </c>
      <c r="C155" s="38">
        <v>98.469719999999995</v>
      </c>
      <c r="D155" s="38">
        <v>-8.9326799999999995</v>
      </c>
      <c r="E155" s="38">
        <v>0</v>
      </c>
    </row>
    <row r="156" spans="1:5" x14ac:dyDescent="0.3">
      <c r="A156" s="38">
        <v>1</v>
      </c>
      <c r="B156" s="38">
        <v>155</v>
      </c>
      <c r="C156" s="38">
        <v>101.28006000000001</v>
      </c>
      <c r="D156" s="38">
        <v>-8.7218999999999998</v>
      </c>
      <c r="E156" s="38">
        <v>0</v>
      </c>
    </row>
    <row r="157" spans="1:5" x14ac:dyDescent="0.3">
      <c r="A157" s="38">
        <v>1</v>
      </c>
      <c r="B157" s="38">
        <v>156</v>
      </c>
      <c r="C157" s="38">
        <v>104.07906</v>
      </c>
      <c r="D157" s="38">
        <v>-8.5035600000000002</v>
      </c>
      <c r="E157" s="38">
        <v>0</v>
      </c>
    </row>
    <row r="158" spans="1:5" x14ac:dyDescent="0.3">
      <c r="A158" s="38">
        <v>1</v>
      </c>
      <c r="B158" s="38">
        <v>157</v>
      </c>
      <c r="C158" s="38">
        <v>106.86438</v>
      </c>
      <c r="D158" s="38">
        <v>-8.2785600000000006</v>
      </c>
      <c r="E158" s="38">
        <v>0</v>
      </c>
    </row>
    <row r="159" spans="1:5" x14ac:dyDescent="0.3">
      <c r="A159" s="38">
        <v>1</v>
      </c>
      <c r="B159" s="38">
        <v>158</v>
      </c>
      <c r="C159" s="38">
        <v>109.63296</v>
      </c>
      <c r="D159" s="38">
        <v>-8.0474399999999999</v>
      </c>
      <c r="E159" s="38">
        <v>0</v>
      </c>
    </row>
    <row r="160" spans="1:5" x14ac:dyDescent="0.3">
      <c r="A160" s="38">
        <v>1</v>
      </c>
      <c r="B160" s="38">
        <v>159</v>
      </c>
      <c r="C160" s="38">
        <v>112.38209999999999</v>
      </c>
      <c r="D160" s="38">
        <v>-7.8109200000000003</v>
      </c>
      <c r="E160" s="38">
        <v>0</v>
      </c>
    </row>
    <row r="161" spans="1:5" x14ac:dyDescent="0.3">
      <c r="A161" s="38">
        <v>1</v>
      </c>
      <c r="B161" s="38">
        <v>160</v>
      </c>
      <c r="C161" s="38">
        <v>115.10928</v>
      </c>
      <c r="D161" s="38">
        <v>-7.5693599999999996</v>
      </c>
      <c r="E161" s="38">
        <v>0</v>
      </c>
    </row>
    <row r="162" spans="1:5" x14ac:dyDescent="0.3">
      <c r="A162" s="38">
        <v>1</v>
      </c>
      <c r="B162" s="38">
        <v>161</v>
      </c>
      <c r="C162" s="38">
        <v>117.81144</v>
      </c>
      <c r="D162" s="38">
        <v>-7.32348</v>
      </c>
      <c r="E162" s="38">
        <v>0</v>
      </c>
    </row>
    <row r="163" spans="1:5" x14ac:dyDescent="0.3">
      <c r="A163" s="38">
        <v>1</v>
      </c>
      <c r="B163" s="38">
        <v>162</v>
      </c>
      <c r="C163" s="38">
        <v>120.48642</v>
      </c>
      <c r="D163" s="38">
        <v>-7.0739999999999998</v>
      </c>
      <c r="E163" s="38">
        <v>0</v>
      </c>
    </row>
    <row r="164" spans="1:5" x14ac:dyDescent="0.3">
      <c r="A164" s="38">
        <v>1</v>
      </c>
      <c r="B164" s="38">
        <v>163</v>
      </c>
      <c r="C164" s="38">
        <v>123.13115999999999</v>
      </c>
      <c r="D164" s="38">
        <v>-6.8212799999999998</v>
      </c>
      <c r="E164" s="38">
        <v>0</v>
      </c>
    </row>
    <row r="165" spans="1:5" x14ac:dyDescent="0.3">
      <c r="A165" s="38">
        <v>1</v>
      </c>
      <c r="B165" s="38">
        <v>164</v>
      </c>
      <c r="C165" s="38">
        <v>125.74332</v>
      </c>
      <c r="D165" s="38">
        <v>-6.5660400000000001</v>
      </c>
      <c r="E165" s="38">
        <v>0</v>
      </c>
    </row>
    <row r="166" spans="1:5" x14ac:dyDescent="0.3">
      <c r="A166" s="38">
        <v>1</v>
      </c>
      <c r="B166" s="38">
        <v>165</v>
      </c>
      <c r="C166" s="38">
        <v>128.3202</v>
      </c>
      <c r="D166" s="38">
        <v>-6.3086399999999996</v>
      </c>
      <c r="E166" s="38">
        <v>0</v>
      </c>
    </row>
    <row r="167" spans="1:5" x14ac:dyDescent="0.3">
      <c r="A167" s="38">
        <v>1</v>
      </c>
      <c r="B167" s="38">
        <v>166</v>
      </c>
      <c r="C167" s="38">
        <v>130.85910000000001</v>
      </c>
      <c r="D167" s="38">
        <v>-6.0498000000000003</v>
      </c>
      <c r="E167" s="38">
        <v>0</v>
      </c>
    </row>
    <row r="168" spans="1:5" x14ac:dyDescent="0.3">
      <c r="A168" s="38">
        <v>1</v>
      </c>
      <c r="B168" s="38">
        <v>167</v>
      </c>
      <c r="C168" s="38">
        <v>133.35785999999999</v>
      </c>
      <c r="D168" s="38">
        <v>-5.7902399999999998</v>
      </c>
      <c r="E168" s="38">
        <v>0</v>
      </c>
    </row>
    <row r="169" spans="1:5" x14ac:dyDescent="0.3">
      <c r="A169" s="38">
        <v>1</v>
      </c>
      <c r="B169" s="38">
        <v>168</v>
      </c>
      <c r="C169" s="38">
        <v>135.81378000000001</v>
      </c>
      <c r="D169" s="38">
        <v>-5.5301400000000003</v>
      </c>
      <c r="E169" s="38">
        <v>0</v>
      </c>
    </row>
    <row r="170" spans="1:5" x14ac:dyDescent="0.3">
      <c r="A170" s="38">
        <v>1</v>
      </c>
      <c r="B170" s="38">
        <v>169</v>
      </c>
      <c r="C170" s="38">
        <v>138.22434000000001</v>
      </c>
      <c r="D170" s="38">
        <v>-5.2702200000000001</v>
      </c>
      <c r="E170" s="38">
        <v>0</v>
      </c>
    </row>
    <row r="171" spans="1:5" x14ac:dyDescent="0.3">
      <c r="A171" s="38">
        <v>1</v>
      </c>
      <c r="B171" s="38">
        <v>170</v>
      </c>
      <c r="C171" s="38">
        <v>140.58756</v>
      </c>
      <c r="D171" s="38">
        <v>-5.01084</v>
      </c>
      <c r="E171" s="38">
        <v>0</v>
      </c>
    </row>
    <row r="172" spans="1:5" x14ac:dyDescent="0.3">
      <c r="A172" s="38">
        <v>1</v>
      </c>
      <c r="B172" s="38">
        <v>171</v>
      </c>
      <c r="C172" s="38">
        <v>142.90074000000001</v>
      </c>
      <c r="D172" s="38">
        <v>-4.7529000000000003</v>
      </c>
      <c r="E172" s="38">
        <v>0</v>
      </c>
    </row>
    <row r="173" spans="1:5" x14ac:dyDescent="0.3">
      <c r="A173" s="38">
        <v>1</v>
      </c>
      <c r="B173" s="38">
        <v>172</v>
      </c>
      <c r="C173" s="38">
        <v>145.16172</v>
      </c>
      <c r="D173" s="38">
        <v>-4.4965799999999998</v>
      </c>
      <c r="E173" s="38">
        <v>0</v>
      </c>
    </row>
    <row r="174" spans="1:5" x14ac:dyDescent="0.3">
      <c r="A174" s="38">
        <v>1</v>
      </c>
      <c r="B174" s="38">
        <v>173</v>
      </c>
      <c r="C174" s="38">
        <v>147.36815999999999</v>
      </c>
      <c r="D174" s="38">
        <v>-4.2424200000000001</v>
      </c>
      <c r="E174" s="38">
        <v>0</v>
      </c>
    </row>
    <row r="175" spans="1:5" x14ac:dyDescent="0.3">
      <c r="A175" s="38">
        <v>1</v>
      </c>
      <c r="B175" s="38">
        <v>174</v>
      </c>
      <c r="C175" s="38">
        <v>149.51808</v>
      </c>
      <c r="D175" s="38">
        <v>-3.9911400000000001</v>
      </c>
      <c r="E175" s="38">
        <v>0</v>
      </c>
    </row>
    <row r="176" spans="1:5" x14ac:dyDescent="0.3">
      <c r="A176" s="38">
        <v>1</v>
      </c>
      <c r="B176" s="38">
        <v>175</v>
      </c>
      <c r="C176" s="38">
        <v>151.60932</v>
      </c>
      <c r="D176" s="38">
        <v>-3.7431000000000001</v>
      </c>
      <c r="E176" s="38">
        <v>0</v>
      </c>
    </row>
    <row r="177" spans="1:5" x14ac:dyDescent="0.3">
      <c r="A177" s="38">
        <v>1</v>
      </c>
      <c r="B177" s="38">
        <v>176</v>
      </c>
      <c r="C177" s="38">
        <v>153.63954000000001</v>
      </c>
      <c r="D177" s="38">
        <v>-3.49884</v>
      </c>
      <c r="E177" s="38">
        <v>0</v>
      </c>
    </row>
    <row r="178" spans="1:5" x14ac:dyDescent="0.3">
      <c r="A178" s="38">
        <v>1</v>
      </c>
      <c r="B178" s="38">
        <v>177</v>
      </c>
      <c r="C178" s="38">
        <v>155.60712000000001</v>
      </c>
      <c r="D178" s="38">
        <v>-3.25908</v>
      </c>
      <c r="E178" s="38">
        <v>0</v>
      </c>
    </row>
    <row r="179" spans="1:5" x14ac:dyDescent="0.3">
      <c r="A179" s="38">
        <v>1</v>
      </c>
      <c r="B179" s="38">
        <v>178</v>
      </c>
      <c r="C179" s="38">
        <v>157.51007999999999</v>
      </c>
      <c r="D179" s="38">
        <v>-3.024</v>
      </c>
      <c r="E179" s="38">
        <v>0</v>
      </c>
    </row>
    <row r="180" spans="1:5" x14ac:dyDescent="0.3">
      <c r="A180" s="38">
        <v>1</v>
      </c>
      <c r="B180" s="38">
        <v>179</v>
      </c>
      <c r="C180" s="38">
        <v>159.34626</v>
      </c>
      <c r="D180" s="38">
        <v>-2.7941400000000001</v>
      </c>
      <c r="E180" s="38">
        <v>0</v>
      </c>
    </row>
    <row r="181" spans="1:5" x14ac:dyDescent="0.3">
      <c r="A181" s="38">
        <v>1</v>
      </c>
      <c r="B181" s="38">
        <v>180</v>
      </c>
      <c r="C181" s="38">
        <v>161.11403999999999</v>
      </c>
      <c r="D181" s="38">
        <v>-2.5703999999999998</v>
      </c>
      <c r="E181" s="38">
        <v>0</v>
      </c>
    </row>
    <row r="182" spans="1:5" x14ac:dyDescent="0.3">
      <c r="A182" s="38">
        <v>1</v>
      </c>
      <c r="B182" s="38">
        <v>181</v>
      </c>
      <c r="C182" s="38">
        <v>162.81144</v>
      </c>
      <c r="D182" s="38">
        <v>-2.3527800000000001</v>
      </c>
      <c r="E182" s="38">
        <v>0</v>
      </c>
    </row>
    <row r="183" spans="1:5" x14ac:dyDescent="0.3">
      <c r="A183" s="38">
        <v>1</v>
      </c>
      <c r="B183" s="38">
        <v>182</v>
      </c>
      <c r="C183" s="38">
        <v>164.43719999999999</v>
      </c>
      <c r="D183" s="38">
        <v>-2.1419999999999999</v>
      </c>
      <c r="E183" s="38">
        <v>0</v>
      </c>
    </row>
    <row r="184" spans="1:5" x14ac:dyDescent="0.3">
      <c r="A184" s="38">
        <v>1</v>
      </c>
      <c r="B184" s="38">
        <v>183</v>
      </c>
      <c r="C184" s="38">
        <v>165.98952</v>
      </c>
      <c r="D184" s="38">
        <v>-1.9386000000000001</v>
      </c>
      <c r="E184" s="38">
        <v>0</v>
      </c>
    </row>
    <row r="185" spans="1:5" x14ac:dyDescent="0.3">
      <c r="A185" s="38">
        <v>1</v>
      </c>
      <c r="B185" s="38">
        <v>184</v>
      </c>
      <c r="C185" s="38">
        <v>167.46678</v>
      </c>
      <c r="D185" s="38">
        <v>-1.74312</v>
      </c>
      <c r="E185" s="38">
        <v>0</v>
      </c>
    </row>
    <row r="186" spans="1:5" x14ac:dyDescent="0.3">
      <c r="A186" s="38">
        <v>1</v>
      </c>
      <c r="B186" s="38">
        <v>185</v>
      </c>
      <c r="C186" s="38">
        <v>168.86753999999999</v>
      </c>
      <c r="D186" s="38">
        <v>-1.5557399999999999</v>
      </c>
      <c r="E186" s="38">
        <v>0</v>
      </c>
    </row>
    <row r="187" spans="1:5" x14ac:dyDescent="0.3">
      <c r="A187" s="38">
        <v>1</v>
      </c>
      <c r="B187" s="38">
        <v>186</v>
      </c>
      <c r="C187" s="38">
        <v>170.19054</v>
      </c>
      <c r="D187" s="38">
        <v>-1.3771800000000001</v>
      </c>
      <c r="E187" s="38">
        <v>0</v>
      </c>
    </row>
    <row r="188" spans="1:5" x14ac:dyDescent="0.3">
      <c r="A188" s="38">
        <v>1</v>
      </c>
      <c r="B188" s="38">
        <v>187</v>
      </c>
      <c r="C188" s="38">
        <v>171.43451999999999</v>
      </c>
      <c r="D188" s="38">
        <v>-1.2078</v>
      </c>
      <c r="E188" s="38">
        <v>0</v>
      </c>
    </row>
    <row r="189" spans="1:5" x14ac:dyDescent="0.3">
      <c r="A189" s="38">
        <v>1</v>
      </c>
      <c r="B189" s="38">
        <v>188</v>
      </c>
      <c r="C189" s="38">
        <v>172.59786</v>
      </c>
      <c r="D189" s="38">
        <v>-1.04796</v>
      </c>
      <c r="E189" s="38">
        <v>0</v>
      </c>
    </row>
    <row r="190" spans="1:5" x14ac:dyDescent="0.3">
      <c r="A190" s="38">
        <v>1</v>
      </c>
      <c r="B190" s="38">
        <v>189</v>
      </c>
      <c r="C190" s="38">
        <v>173.67984000000001</v>
      </c>
      <c r="D190" s="38">
        <v>-0.8982</v>
      </c>
      <c r="E190" s="38">
        <v>0</v>
      </c>
    </row>
    <row r="191" spans="1:5" x14ac:dyDescent="0.3">
      <c r="A191" s="38">
        <v>1</v>
      </c>
      <c r="B191" s="38">
        <v>190</v>
      </c>
      <c r="C191" s="38">
        <v>174.67920000000001</v>
      </c>
      <c r="D191" s="38">
        <v>-0.75888</v>
      </c>
      <c r="E191" s="38">
        <v>0</v>
      </c>
    </row>
    <row r="192" spans="1:5" x14ac:dyDescent="0.3">
      <c r="A192" s="38">
        <v>1</v>
      </c>
      <c r="B192" s="38">
        <v>191</v>
      </c>
      <c r="C192" s="38">
        <v>175.59504000000001</v>
      </c>
      <c r="D192" s="38">
        <v>-0.63017999999999996</v>
      </c>
      <c r="E192" s="38">
        <v>0</v>
      </c>
    </row>
    <row r="193" spans="1:5" x14ac:dyDescent="0.3">
      <c r="A193" s="38">
        <v>1</v>
      </c>
      <c r="B193" s="38">
        <v>192</v>
      </c>
      <c r="C193" s="38">
        <v>176.42645999999999</v>
      </c>
      <c r="D193" s="38">
        <v>-0.51282000000000005</v>
      </c>
      <c r="E193" s="38">
        <v>0</v>
      </c>
    </row>
    <row r="194" spans="1:5" x14ac:dyDescent="0.3">
      <c r="A194" s="38">
        <v>1</v>
      </c>
      <c r="B194" s="38">
        <v>193</v>
      </c>
      <c r="C194" s="38">
        <v>177.17256</v>
      </c>
      <c r="D194" s="38">
        <v>-0.40679999999999999</v>
      </c>
      <c r="E194" s="38">
        <v>0</v>
      </c>
    </row>
    <row r="195" spans="1:5" x14ac:dyDescent="0.3">
      <c r="A195" s="38">
        <v>1</v>
      </c>
      <c r="B195" s="38">
        <v>194</v>
      </c>
      <c r="C195" s="38">
        <v>177.83243999999999</v>
      </c>
      <c r="D195" s="38">
        <v>-0.31265999999999999</v>
      </c>
      <c r="E195" s="38">
        <v>0</v>
      </c>
    </row>
    <row r="196" spans="1:5" x14ac:dyDescent="0.3">
      <c r="A196" s="38">
        <v>1</v>
      </c>
      <c r="B196" s="38">
        <v>195</v>
      </c>
      <c r="C196" s="38">
        <v>178.40592000000001</v>
      </c>
      <c r="D196" s="38">
        <v>-0.23039999999999999</v>
      </c>
      <c r="E196" s="38">
        <v>0</v>
      </c>
    </row>
    <row r="197" spans="1:5" x14ac:dyDescent="0.3">
      <c r="A197" s="38">
        <v>1</v>
      </c>
      <c r="B197" s="38">
        <v>196</v>
      </c>
      <c r="C197" s="38">
        <v>178.89192</v>
      </c>
      <c r="D197" s="38">
        <v>-0.16037999999999999</v>
      </c>
      <c r="E197" s="38">
        <v>0</v>
      </c>
    </row>
    <row r="198" spans="1:5" x14ac:dyDescent="0.3">
      <c r="A198" s="38">
        <v>1</v>
      </c>
      <c r="B198" s="38">
        <v>197</v>
      </c>
      <c r="C198" s="38">
        <v>179.29025999999999</v>
      </c>
      <c r="D198" s="38">
        <v>-0.10296</v>
      </c>
      <c r="E198" s="38">
        <v>0</v>
      </c>
    </row>
    <row r="199" spans="1:5" x14ac:dyDescent="0.3">
      <c r="A199" s="38">
        <v>1</v>
      </c>
      <c r="B199" s="38">
        <v>198</v>
      </c>
      <c r="C199" s="38">
        <v>179.60058000000001</v>
      </c>
      <c r="D199" s="38">
        <v>-5.7959999999999998E-2</v>
      </c>
      <c r="E199" s="38">
        <v>0</v>
      </c>
    </row>
    <row r="200" spans="1:5" x14ac:dyDescent="0.3">
      <c r="A200" s="38">
        <v>1</v>
      </c>
      <c r="B200" s="38">
        <v>199</v>
      </c>
      <c r="C200" s="38">
        <v>179.82234</v>
      </c>
      <c r="D200" s="38">
        <v>-2.5739999999999999E-2</v>
      </c>
      <c r="E200" s="38">
        <v>0</v>
      </c>
    </row>
    <row r="201" spans="1:5" x14ac:dyDescent="0.3">
      <c r="A201" s="38">
        <v>1</v>
      </c>
      <c r="B201" s="38">
        <v>200</v>
      </c>
      <c r="C201" s="38">
        <v>179.95554000000001</v>
      </c>
      <c r="D201" s="38">
        <v>-6.4799999999999996E-3</v>
      </c>
      <c r="E201" s="38">
        <v>0</v>
      </c>
    </row>
    <row r="202" spans="1:5" x14ac:dyDescent="0.3">
      <c r="A202" s="38">
        <v>1</v>
      </c>
      <c r="B202" s="38">
        <v>0</v>
      </c>
      <c r="C202" s="38"/>
      <c r="D202" s="38"/>
      <c r="E202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topLeftCell="A3" zoomScaleNormal="100" workbookViewId="0">
      <selection activeCell="P19" sqref="P19"/>
    </sheetView>
  </sheetViews>
  <sheetFormatPr defaultColWidth="8.88671875" defaultRowHeight="15.05" x14ac:dyDescent="0.3"/>
  <cols>
    <col min="1" max="3" width="8.88671875" style="3"/>
    <col min="4" max="4" width="9.6640625" style="11" customWidth="1"/>
    <col min="5" max="5" width="10.5546875" style="11" bestFit="1" customWidth="1"/>
    <col min="6" max="6" width="10" style="11" bestFit="1" customWidth="1"/>
    <col min="7" max="7" width="9.44140625" style="11" bestFit="1" customWidth="1"/>
    <col min="8" max="8" width="8.88671875" style="1"/>
    <col min="9" max="9" width="8" style="1" customWidth="1"/>
    <col min="10" max="16384" width="8.88671875" style="1"/>
  </cols>
  <sheetData>
    <row r="1" spans="1:16" ht="19" customHeight="1" x14ac:dyDescent="0.3">
      <c r="A1" s="12" t="s">
        <v>2</v>
      </c>
      <c r="B1" s="143" t="s">
        <v>186</v>
      </c>
      <c r="C1" s="143" t="s">
        <v>187</v>
      </c>
      <c r="D1" s="137" t="s">
        <v>1</v>
      </c>
      <c r="E1" s="137" t="s">
        <v>0</v>
      </c>
      <c r="F1" s="137" t="s">
        <v>3</v>
      </c>
      <c r="G1" s="137" t="s">
        <v>13</v>
      </c>
      <c r="H1" s="138" t="s">
        <v>12</v>
      </c>
      <c r="I1" s="16" t="s">
        <v>4</v>
      </c>
      <c r="J1" s="17" t="s">
        <v>5</v>
      </c>
      <c r="K1" s="16" t="s">
        <v>6</v>
      </c>
      <c r="L1" s="17" t="s">
        <v>7</v>
      </c>
      <c r="M1" s="16" t="s">
        <v>8</v>
      </c>
      <c r="N1" s="17" t="s">
        <v>9</v>
      </c>
      <c r="O1" s="18" t="s">
        <v>10</v>
      </c>
      <c r="P1" s="19" t="s">
        <v>11</v>
      </c>
    </row>
    <row r="2" spans="1:16" ht="19" customHeight="1" x14ac:dyDescent="0.3">
      <c r="A2" s="20">
        <v>0</v>
      </c>
      <c r="B2" s="28">
        <v>0</v>
      </c>
      <c r="C2" s="28">
        <v>0</v>
      </c>
      <c r="D2" s="73"/>
      <c r="E2" s="73"/>
      <c r="F2" s="73"/>
      <c r="G2" s="21" t="e">
        <f t="shared" ref="G2:G6" si="0">D2/E2</f>
        <v>#DIV/0!</v>
      </c>
      <c r="H2" s="22">
        <v>25</v>
      </c>
      <c r="I2" s="23">
        <f t="shared" ref="I2:I9" si="1">H2*COS(RADIANS(A2))</f>
        <v>25</v>
      </c>
      <c r="J2" s="23">
        <f t="shared" ref="J2:J9" si="2">H2*SIN(RADIANS(A2))</f>
        <v>0</v>
      </c>
      <c r="K2" s="24">
        <f>COS(RADIANS(A2))</f>
        <v>1</v>
      </c>
      <c r="L2" s="24">
        <f>SIN(RADIANS(A2))</f>
        <v>0</v>
      </c>
      <c r="M2" s="25">
        <f>-SIN(RADIANS(A2))</f>
        <v>0</v>
      </c>
      <c r="N2" s="25">
        <f>COS(RADIANS(A2))</f>
        <v>1</v>
      </c>
      <c r="O2" s="26">
        <f>0.045*K2</f>
        <v>4.4999999999999998E-2</v>
      </c>
      <c r="P2" s="26">
        <f>0.045*L2</f>
        <v>0</v>
      </c>
    </row>
    <row r="3" spans="1:16" ht="19" customHeight="1" x14ac:dyDescent="0.3">
      <c r="A3" s="20">
        <v>2</v>
      </c>
      <c r="B3" s="28">
        <v>0.224</v>
      </c>
      <c r="C3" s="28">
        <v>0.3085</v>
      </c>
      <c r="D3" s="73"/>
      <c r="E3" s="73"/>
      <c r="F3" s="73"/>
      <c r="G3" s="21" t="e">
        <f t="shared" si="0"/>
        <v>#DIV/0!</v>
      </c>
      <c r="H3" s="22">
        <v>25</v>
      </c>
      <c r="I3" s="23">
        <f t="shared" si="1"/>
        <v>24.984770675477392</v>
      </c>
      <c r="J3" s="23">
        <f t="shared" si="2"/>
        <v>0.87248741756252424</v>
      </c>
      <c r="K3" s="24">
        <f t="shared" ref="K3:K9" si="3">COS(RADIANS(A3))</f>
        <v>0.99939082701909576</v>
      </c>
      <c r="L3" s="24">
        <f t="shared" ref="L3:L9" si="4">SIN(RADIANS(A3))</f>
        <v>3.4899496702500969E-2</v>
      </c>
      <c r="M3" s="25">
        <f t="shared" ref="M3:M9" si="5">-SIN(RADIANS(A3))</f>
        <v>-3.4899496702500969E-2</v>
      </c>
      <c r="N3" s="25">
        <f t="shared" ref="N3:N9" si="6">COS(RADIANS(A3))</f>
        <v>0.99939082701909576</v>
      </c>
      <c r="O3" s="26">
        <f t="shared" ref="O3:P10" si="7">0.045*K3</f>
        <v>4.4972587215859311E-2</v>
      </c>
      <c r="P3" s="26">
        <f t="shared" si="7"/>
        <v>1.5704773516125436E-3</v>
      </c>
    </row>
    <row r="4" spans="1:16" ht="19" customHeight="1" x14ac:dyDescent="0.3">
      <c r="A4" s="20">
        <v>4</v>
      </c>
      <c r="B4" s="28">
        <v>0.49220000000000003</v>
      </c>
      <c r="C4" s="28">
        <v>0.53569999999999995</v>
      </c>
      <c r="D4" s="73"/>
      <c r="E4" s="73"/>
      <c r="F4" s="73"/>
      <c r="G4" s="21" t="e">
        <f t="shared" si="0"/>
        <v>#DIV/0!</v>
      </c>
      <c r="H4" s="22">
        <v>25</v>
      </c>
      <c r="I4" s="23">
        <f t="shared" si="1"/>
        <v>24.939101256495604</v>
      </c>
      <c r="J4" s="23">
        <f t="shared" si="2"/>
        <v>1.7439118436031324</v>
      </c>
      <c r="K4" s="24">
        <f t="shared" si="3"/>
        <v>0.9975640502598242</v>
      </c>
      <c r="L4" s="24">
        <f t="shared" si="4"/>
        <v>6.9756473744125302E-2</v>
      </c>
      <c r="M4" s="25">
        <f t="shared" si="5"/>
        <v>-6.9756473744125302E-2</v>
      </c>
      <c r="N4" s="25">
        <f t="shared" si="6"/>
        <v>0.9975640502598242</v>
      </c>
      <c r="O4" s="26">
        <f t="shared" si="7"/>
        <v>4.4890382261692084E-2</v>
      </c>
      <c r="P4" s="26">
        <f t="shared" si="7"/>
        <v>3.1390413184856384E-3</v>
      </c>
    </row>
    <row r="5" spans="1:16" x14ac:dyDescent="0.3">
      <c r="A5" s="20">
        <v>6</v>
      </c>
      <c r="B5" s="28">
        <v>0.6956</v>
      </c>
      <c r="C5" s="28">
        <v>0.69710000000000005</v>
      </c>
      <c r="D5" s="73"/>
      <c r="E5" s="73"/>
      <c r="F5" s="73"/>
      <c r="G5" s="21" t="e">
        <f t="shared" si="0"/>
        <v>#DIV/0!</v>
      </c>
      <c r="H5" s="22">
        <v>25</v>
      </c>
      <c r="I5" s="23">
        <f t="shared" si="1"/>
        <v>24.863047384206833</v>
      </c>
      <c r="J5" s="23">
        <f t="shared" si="2"/>
        <v>2.6132115816913366</v>
      </c>
      <c r="K5" s="24">
        <f t="shared" si="3"/>
        <v>0.99452189536827329</v>
      </c>
      <c r="L5" s="24">
        <f t="shared" si="4"/>
        <v>0.10452846326765347</v>
      </c>
      <c r="M5" s="25">
        <f t="shared" si="5"/>
        <v>-0.10452846326765347</v>
      </c>
      <c r="N5" s="25">
        <f t="shared" si="6"/>
        <v>0.99452189536827329</v>
      </c>
      <c r="O5" s="26">
        <f t="shared" si="7"/>
        <v>4.4753485291572297E-2</v>
      </c>
      <c r="P5" s="26">
        <f t="shared" si="7"/>
        <v>4.7037808470444063E-3</v>
      </c>
    </row>
    <row r="6" spans="1:16" x14ac:dyDescent="0.3">
      <c r="A6" s="20">
        <v>8</v>
      </c>
      <c r="B6" s="28">
        <v>0.85670000000000002</v>
      </c>
      <c r="C6" s="28">
        <v>0.84809999999999997</v>
      </c>
      <c r="D6" s="73"/>
      <c r="E6" s="73"/>
      <c r="F6" s="73"/>
      <c r="G6" s="21" t="e">
        <f t="shared" si="0"/>
        <v>#DIV/0!</v>
      </c>
      <c r="H6" s="22">
        <v>25</v>
      </c>
      <c r="I6" s="23">
        <f t="shared" si="1"/>
        <v>24.756701718539258</v>
      </c>
      <c r="J6" s="23">
        <f t="shared" si="2"/>
        <v>3.4793275240016359</v>
      </c>
      <c r="K6" s="24">
        <f t="shared" si="3"/>
        <v>0.99026806874157036</v>
      </c>
      <c r="L6" s="24">
        <f t="shared" si="4"/>
        <v>0.13917310096006544</v>
      </c>
      <c r="M6" s="25">
        <f t="shared" si="5"/>
        <v>-0.13917310096006544</v>
      </c>
      <c r="N6" s="25">
        <f t="shared" si="6"/>
        <v>0.99026806874157036</v>
      </c>
      <c r="O6" s="26">
        <f t="shared" si="7"/>
        <v>4.4562063093370664E-2</v>
      </c>
      <c r="P6" s="26">
        <f t="shared" si="7"/>
        <v>6.2627895432029448E-3</v>
      </c>
    </row>
    <row r="7" spans="1:16" ht="19" customHeight="1" x14ac:dyDescent="0.3">
      <c r="A7" s="20">
        <v>10</v>
      </c>
      <c r="B7" s="28">
        <v>1.0068999999999999</v>
      </c>
      <c r="C7" s="28">
        <v>1.0066999999999999</v>
      </c>
      <c r="D7" s="28"/>
      <c r="E7" s="133"/>
      <c r="F7" s="73"/>
      <c r="G7" s="21" t="e">
        <f>D7/E7</f>
        <v>#DIV/0!</v>
      </c>
      <c r="H7" s="22">
        <v>25</v>
      </c>
      <c r="I7" s="23">
        <f t="shared" si="1"/>
        <v>24.620193825305201</v>
      </c>
      <c r="J7" s="23">
        <f t="shared" si="2"/>
        <v>4.3412044416732583</v>
      </c>
      <c r="K7" s="24">
        <f t="shared" si="3"/>
        <v>0.98480775301220802</v>
      </c>
      <c r="L7" s="24">
        <f t="shared" si="4"/>
        <v>0.17364817766693033</v>
      </c>
      <c r="M7" s="25">
        <f t="shared" si="5"/>
        <v>-0.17364817766693033</v>
      </c>
      <c r="N7" s="25">
        <f t="shared" si="6"/>
        <v>0.98480775301220802</v>
      </c>
      <c r="O7" s="26">
        <f t="shared" si="7"/>
        <v>4.4316348885549361E-2</v>
      </c>
      <c r="P7" s="26">
        <f t="shared" si="7"/>
        <v>7.8141679950118649E-3</v>
      </c>
    </row>
    <row r="8" spans="1:16" x14ac:dyDescent="0.3">
      <c r="A8" s="20">
        <v>12</v>
      </c>
      <c r="B8" s="28">
        <v>1.1072</v>
      </c>
      <c r="C8" s="28">
        <v>1.1068</v>
      </c>
      <c r="D8" s="73"/>
      <c r="E8" s="73"/>
      <c r="F8" s="73"/>
      <c r="G8" s="21" t="e">
        <f t="shared" ref="G8:G10" si="8">D8/E8</f>
        <v>#DIV/0!</v>
      </c>
      <c r="H8" s="22">
        <v>25</v>
      </c>
      <c r="I8" s="23">
        <f t="shared" si="1"/>
        <v>24.453690018345142</v>
      </c>
      <c r="J8" s="23">
        <f t="shared" si="2"/>
        <v>5.1977922704439834</v>
      </c>
      <c r="K8" s="24">
        <f t="shared" si="3"/>
        <v>0.97814760073380569</v>
      </c>
      <c r="L8" s="24">
        <f t="shared" si="4"/>
        <v>0.20791169081775934</v>
      </c>
      <c r="M8" s="25">
        <f t="shared" si="5"/>
        <v>-0.20791169081775934</v>
      </c>
      <c r="N8" s="25">
        <f t="shared" si="6"/>
        <v>0.97814760073380569</v>
      </c>
      <c r="O8" s="26">
        <f t="shared" si="7"/>
        <v>4.4016642033021254E-2</v>
      </c>
      <c r="P8" s="26">
        <f t="shared" si="7"/>
        <v>9.3560260867991702E-3</v>
      </c>
    </row>
    <row r="9" spans="1:16" x14ac:dyDescent="0.3">
      <c r="A9" s="20">
        <v>14</v>
      </c>
      <c r="B9" s="28">
        <v>1.1335999999999999</v>
      </c>
      <c r="C9" s="28">
        <v>0.96319999999999995</v>
      </c>
      <c r="D9" s="73"/>
      <c r="E9" s="73"/>
      <c r="F9" s="73"/>
      <c r="G9" s="21" t="e">
        <f t="shared" si="8"/>
        <v>#DIV/0!</v>
      </c>
      <c r="H9" s="22">
        <v>25</v>
      </c>
      <c r="I9" s="23">
        <f t="shared" si="1"/>
        <v>24.257393156899912</v>
      </c>
      <c r="J9" s="23">
        <f t="shared" si="2"/>
        <v>6.0480473899916936</v>
      </c>
      <c r="K9" s="24">
        <f t="shared" si="3"/>
        <v>0.97029572627599647</v>
      </c>
      <c r="L9" s="24">
        <f t="shared" si="4"/>
        <v>0.24192189559966773</v>
      </c>
      <c r="M9" s="25">
        <f t="shared" si="5"/>
        <v>-0.24192189559966773</v>
      </c>
      <c r="N9" s="25">
        <f t="shared" si="6"/>
        <v>0.97029572627599647</v>
      </c>
      <c r="O9" s="26">
        <f t="shared" si="7"/>
        <v>4.3663307682419841E-2</v>
      </c>
      <c r="P9" s="26">
        <f t="shared" si="7"/>
        <v>1.0886485301985048E-2</v>
      </c>
    </row>
    <row r="10" spans="1:16" x14ac:dyDescent="0.3">
      <c r="A10" s="20">
        <v>16</v>
      </c>
      <c r="B10" s="28">
        <v>1.0106999999999999</v>
      </c>
      <c r="C10" s="28"/>
      <c r="D10" s="21"/>
      <c r="E10"/>
      <c r="F10"/>
      <c r="G10" s="21" t="e">
        <f t="shared" si="8"/>
        <v>#DIV/0!</v>
      </c>
      <c r="H10" s="22">
        <v>25</v>
      </c>
      <c r="I10" s="23">
        <f>H10*COS(RADIANS(A10))</f>
        <v>24.031542398457972</v>
      </c>
      <c r="J10" s="23">
        <f>H10*SIN(RADIANS(A10))</f>
        <v>6.890933895424979</v>
      </c>
      <c r="K10" s="24">
        <f>COS(RADIANS(A10))</f>
        <v>0.96126169593831889</v>
      </c>
      <c r="L10" s="24">
        <f>SIN(RADIANS(A10))</f>
        <v>0.27563735581699916</v>
      </c>
      <c r="M10" s="25">
        <f>-SIN(RADIANS(A10))</f>
        <v>-0.27563735581699916</v>
      </c>
      <c r="N10" s="25">
        <f>COS(RADIANS(A10))</f>
        <v>0.96126169593831889</v>
      </c>
      <c r="O10" s="26">
        <f t="shared" si="7"/>
        <v>4.3256776317224348E-2</v>
      </c>
      <c r="P10" s="26">
        <f t="shared" si="7"/>
        <v>1.2403681011764962E-2</v>
      </c>
    </row>
    <row r="11" spans="1:16" ht="19" customHeight="1" x14ac:dyDescent="0.3"/>
    <row r="12" spans="1:16" ht="19" customHeight="1" x14ac:dyDescent="0.3"/>
    <row r="37" spans="4:9" x14ac:dyDescent="0.3">
      <c r="D37" s="227" t="s">
        <v>14</v>
      </c>
      <c r="E37" s="228"/>
      <c r="F37" s="228"/>
      <c r="G37" s="228"/>
      <c r="H37" s="228"/>
      <c r="I37" s="228"/>
    </row>
  </sheetData>
  <mergeCells count="1">
    <mergeCell ref="D37:I37"/>
  </mergeCells>
  <hyperlinks>
    <hyperlink ref="D37" r:id="rId1" location="polars" xr:uid="{00000000-0004-0000-0100-000000000000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zoomScaleNormal="100" workbookViewId="0">
      <selection activeCell="G2" sqref="G2"/>
    </sheetView>
  </sheetViews>
  <sheetFormatPr defaultColWidth="8.88671875" defaultRowHeight="15.05" x14ac:dyDescent="0.3"/>
  <cols>
    <col min="1" max="1" width="8.88671875" style="3"/>
    <col min="2" max="2" width="9.6640625" style="11" customWidth="1"/>
    <col min="3" max="3" width="10.5546875" style="11" bestFit="1" customWidth="1"/>
    <col min="4" max="4" width="10" style="11" bestFit="1" customWidth="1"/>
    <col min="5" max="5" width="9.44140625" style="11" bestFit="1" customWidth="1"/>
    <col min="6" max="6" width="8.88671875" style="1"/>
    <col min="7" max="7" width="8" style="1" customWidth="1"/>
    <col min="8" max="16384" width="8.88671875" style="1"/>
  </cols>
  <sheetData>
    <row r="1" spans="1:14" ht="19" customHeight="1" x14ac:dyDescent="0.3">
      <c r="A1" s="12" t="s">
        <v>2</v>
      </c>
      <c r="B1" s="13" t="s">
        <v>1</v>
      </c>
      <c r="C1" s="14" t="s">
        <v>0</v>
      </c>
      <c r="D1" s="15" t="s">
        <v>3</v>
      </c>
      <c r="E1" s="14" t="s">
        <v>13</v>
      </c>
      <c r="F1" s="16" t="s">
        <v>12</v>
      </c>
      <c r="G1" s="16" t="s">
        <v>4</v>
      </c>
      <c r="H1" s="17" t="s">
        <v>5</v>
      </c>
      <c r="I1" s="16" t="s">
        <v>6</v>
      </c>
      <c r="J1" s="17" t="s">
        <v>7</v>
      </c>
      <c r="K1" s="16" t="s">
        <v>8</v>
      </c>
      <c r="L1" s="17" t="s">
        <v>9</v>
      </c>
      <c r="M1" s="18" t="s">
        <v>10</v>
      </c>
      <c r="N1" s="19" t="s">
        <v>11</v>
      </c>
    </row>
    <row r="2" spans="1:14" x14ac:dyDescent="0.3">
      <c r="A2" s="20">
        <v>0</v>
      </c>
      <c r="B2" s="21"/>
      <c r="C2" s="21"/>
      <c r="D2" s="21"/>
      <c r="E2" s="21" t="e">
        <f>B2/C2</f>
        <v>#DIV/0!</v>
      </c>
      <c r="F2" s="22">
        <v>16.229478458049886</v>
      </c>
      <c r="G2" s="23">
        <f t="shared" ref="G2:G13" si="0">F2*COS(RADIANS(A2))</f>
        <v>16.229478458049886</v>
      </c>
      <c r="H2" s="23">
        <f t="shared" ref="H2:H13" si="1">F2*SIN(RADIANS(A2))</f>
        <v>0</v>
      </c>
      <c r="I2" s="24">
        <f>COS(RADIANS(A2))</f>
        <v>1</v>
      </c>
      <c r="J2" s="24">
        <f>SIN(RADIANS(A2))</f>
        <v>0</v>
      </c>
      <c r="K2" s="25">
        <f>-SIN(RADIANS(A2))</f>
        <v>0</v>
      </c>
      <c r="L2" s="25">
        <f>COS(RADIANS(A2))</f>
        <v>1</v>
      </c>
      <c r="M2" s="26">
        <f>0.045*I2</f>
        <v>4.4999999999999998E-2</v>
      </c>
      <c r="N2" s="26">
        <f>0.045*J2</f>
        <v>0</v>
      </c>
    </row>
    <row r="3" spans="1:14" ht="19" customHeight="1" x14ac:dyDescent="0.3">
      <c r="A3" s="20">
        <v>2</v>
      </c>
      <c r="B3" s="21"/>
      <c r="C3" s="21"/>
      <c r="D3" s="21"/>
      <c r="E3" s="21" t="e">
        <f t="shared" ref="E3:E13" si="2">B3/C3</f>
        <v>#DIV/0!</v>
      </c>
      <c r="F3" s="22">
        <v>16.229478458049886</v>
      </c>
      <c r="G3" s="23">
        <f t="shared" si="0"/>
        <v>16.219591898279074</v>
      </c>
      <c r="H3" s="23">
        <f t="shared" si="1"/>
        <v>0.56640062993002249</v>
      </c>
      <c r="I3" s="24">
        <f t="shared" ref="I3:I13" si="3">COS(RADIANS(A3))</f>
        <v>0.99939082701909576</v>
      </c>
      <c r="J3" s="24">
        <f t="shared" ref="J3:J13" si="4">SIN(RADIANS(A3))</f>
        <v>3.4899496702500969E-2</v>
      </c>
      <c r="K3" s="25">
        <f t="shared" ref="K3:K13" si="5">-SIN(RADIANS(A3))</f>
        <v>-3.4899496702500969E-2</v>
      </c>
      <c r="L3" s="25">
        <f t="shared" ref="L3:L13" si="6">COS(RADIANS(A3))</f>
        <v>0.99939082701909576</v>
      </c>
      <c r="M3" s="26">
        <f t="shared" ref="M3:M13" si="7">0.045*I3</f>
        <v>4.4972587215859311E-2</v>
      </c>
      <c r="N3" s="26">
        <f t="shared" ref="N3:N13" si="8">0.045*J3</f>
        <v>1.5704773516125436E-3</v>
      </c>
    </row>
    <row r="4" spans="1:14" ht="19" customHeight="1" x14ac:dyDescent="0.3">
      <c r="A4" s="20">
        <v>4</v>
      </c>
      <c r="B4" s="27"/>
      <c r="C4" s="27"/>
      <c r="D4" s="27"/>
      <c r="E4" s="21" t="e">
        <f t="shared" si="2"/>
        <v>#DIV/0!</v>
      </c>
      <c r="F4" s="22">
        <v>16.229478458049886</v>
      </c>
      <c r="G4" s="23">
        <f t="shared" si="0"/>
        <v>16.189944264216813</v>
      </c>
      <c r="H4" s="23">
        <f t="shared" si="1"/>
        <v>1.132111187939804</v>
      </c>
      <c r="I4" s="24">
        <f t="shared" si="3"/>
        <v>0.9975640502598242</v>
      </c>
      <c r="J4" s="24">
        <f t="shared" si="4"/>
        <v>6.9756473744125302E-2</v>
      </c>
      <c r="K4" s="25">
        <f t="shared" si="5"/>
        <v>-6.9756473744125302E-2</v>
      </c>
      <c r="L4" s="25">
        <f t="shared" si="6"/>
        <v>0.9975640502598242</v>
      </c>
      <c r="M4" s="26">
        <f t="shared" si="7"/>
        <v>4.4890382261692084E-2</v>
      </c>
      <c r="N4" s="26">
        <f t="shared" si="8"/>
        <v>3.1390413184856384E-3</v>
      </c>
    </row>
    <row r="5" spans="1:14" ht="19" customHeight="1" x14ac:dyDescent="0.3">
      <c r="A5" s="20">
        <v>6</v>
      </c>
      <c r="B5" s="21"/>
      <c r="C5" s="21"/>
      <c r="D5" s="21"/>
      <c r="E5" s="21" t="e">
        <f t="shared" si="2"/>
        <v>#DIV/0!</v>
      </c>
      <c r="F5" s="22">
        <v>16.229478458049886</v>
      </c>
      <c r="G5" s="23">
        <f t="shared" si="0"/>
        <v>16.140571676938336</v>
      </c>
      <c r="H5" s="23">
        <f t="shared" si="1"/>
        <v>1.6964424428554408</v>
      </c>
      <c r="I5" s="24">
        <f t="shared" si="3"/>
        <v>0.99452189536827329</v>
      </c>
      <c r="J5" s="24">
        <f t="shared" si="4"/>
        <v>0.10452846326765347</v>
      </c>
      <c r="K5" s="25">
        <f t="shared" si="5"/>
        <v>-0.10452846326765347</v>
      </c>
      <c r="L5" s="25">
        <f t="shared" si="6"/>
        <v>0.99452189536827329</v>
      </c>
      <c r="M5" s="26">
        <f t="shared" si="7"/>
        <v>4.4753485291572297E-2</v>
      </c>
      <c r="N5" s="26">
        <f t="shared" si="8"/>
        <v>4.7037808470444063E-3</v>
      </c>
    </row>
    <row r="6" spans="1:14" ht="19" customHeight="1" x14ac:dyDescent="0.3">
      <c r="A6" s="20">
        <v>8</v>
      </c>
      <c r="B6" s="21"/>
      <c r="C6" s="21"/>
      <c r="D6" s="21"/>
      <c r="E6" s="21" t="e">
        <f t="shared" si="2"/>
        <v>#DIV/0!</v>
      </c>
      <c r="F6" s="22">
        <v>16.229478458049886</v>
      </c>
      <c r="G6" s="23">
        <f t="shared" si="0"/>
        <v>16.071534289335979</v>
      </c>
      <c r="H6" s="23">
        <f t="shared" si="1"/>
        <v>2.258706843971384</v>
      </c>
      <c r="I6" s="24">
        <f t="shared" si="3"/>
        <v>0.99026806874157036</v>
      </c>
      <c r="J6" s="24">
        <f t="shared" si="4"/>
        <v>0.13917310096006544</v>
      </c>
      <c r="K6" s="25">
        <f t="shared" si="5"/>
        <v>-0.13917310096006544</v>
      </c>
      <c r="L6" s="25">
        <f t="shared" si="6"/>
        <v>0.99026806874157036</v>
      </c>
      <c r="M6" s="26">
        <f t="shared" si="7"/>
        <v>4.4562063093370664E-2</v>
      </c>
      <c r="N6" s="26">
        <f t="shared" si="8"/>
        <v>6.2627895432029448E-3</v>
      </c>
    </row>
    <row r="7" spans="1:14" ht="19" customHeight="1" x14ac:dyDescent="0.3">
      <c r="A7" s="20">
        <v>10</v>
      </c>
      <c r="B7" s="21"/>
      <c r="C7" s="21"/>
      <c r="D7" s="21"/>
      <c r="E7" s="21" t="e">
        <f t="shared" si="2"/>
        <v>#DIV/0!</v>
      </c>
      <c r="F7" s="22">
        <v>16.229478458049886</v>
      </c>
      <c r="G7" s="23">
        <f t="shared" si="0"/>
        <v>15.982916212832142</v>
      </c>
      <c r="H7" s="23">
        <f t="shared" si="1"/>
        <v>2.8182193587250652</v>
      </c>
      <c r="I7" s="24">
        <f t="shared" si="3"/>
        <v>0.98480775301220802</v>
      </c>
      <c r="J7" s="24">
        <f t="shared" si="4"/>
        <v>0.17364817766693033</v>
      </c>
      <c r="K7" s="25">
        <f t="shared" si="5"/>
        <v>-0.17364817766693033</v>
      </c>
      <c r="L7" s="25">
        <f t="shared" si="6"/>
        <v>0.98480775301220802</v>
      </c>
      <c r="M7" s="26">
        <f t="shared" si="7"/>
        <v>4.4316348885549361E-2</v>
      </c>
      <c r="N7" s="26">
        <f t="shared" si="8"/>
        <v>7.8141679950118649E-3</v>
      </c>
    </row>
    <row r="8" spans="1:14" ht="19" customHeight="1" x14ac:dyDescent="0.3">
      <c r="A8" s="20">
        <v>12</v>
      </c>
      <c r="B8" s="21"/>
      <c r="C8" s="21"/>
      <c r="D8" s="21"/>
      <c r="E8" s="21" t="e">
        <f t="shared" si="2"/>
        <v>#DIV/0!</v>
      </c>
      <c r="F8" s="22">
        <v>16.229478458049886</v>
      </c>
      <c r="G8" s="23">
        <f t="shared" si="0"/>
        <v>15.87482541490248</v>
      </c>
      <c r="H8" s="23">
        <f t="shared" si="1"/>
        <v>3.3742983073035537</v>
      </c>
      <c r="I8" s="24">
        <f t="shared" si="3"/>
        <v>0.97814760073380569</v>
      </c>
      <c r="J8" s="24">
        <f t="shared" si="4"/>
        <v>0.20791169081775934</v>
      </c>
      <c r="K8" s="25">
        <f t="shared" si="5"/>
        <v>-0.20791169081775934</v>
      </c>
      <c r="L8" s="25">
        <f t="shared" si="6"/>
        <v>0.97814760073380569</v>
      </c>
      <c r="M8" s="26">
        <f t="shared" si="7"/>
        <v>4.4016642033021254E-2</v>
      </c>
      <c r="N8" s="26">
        <f t="shared" si="8"/>
        <v>9.3560260867991702E-3</v>
      </c>
    </row>
    <row r="9" spans="1:14" x14ac:dyDescent="0.3">
      <c r="A9" s="20">
        <v>14</v>
      </c>
      <c r="B9" s="21"/>
      <c r="C9" s="21"/>
      <c r="D9" s="21"/>
      <c r="E9" s="21" t="e">
        <f t="shared" si="2"/>
        <v>#DIV/0!</v>
      </c>
      <c r="F9" s="22">
        <v>16.229478458049886</v>
      </c>
      <c r="G9" s="23">
        <f t="shared" si="0"/>
        <v>15.747393587534154</v>
      </c>
      <c r="H9" s="23">
        <f t="shared" si="1"/>
        <v>3.926266193165401</v>
      </c>
      <c r="I9" s="24">
        <f t="shared" si="3"/>
        <v>0.97029572627599647</v>
      </c>
      <c r="J9" s="24">
        <f t="shared" si="4"/>
        <v>0.24192189559966773</v>
      </c>
      <c r="K9" s="25">
        <f t="shared" si="5"/>
        <v>-0.24192189559966773</v>
      </c>
      <c r="L9" s="25">
        <f t="shared" si="6"/>
        <v>0.97029572627599647</v>
      </c>
      <c r="M9" s="26">
        <f t="shared" si="7"/>
        <v>4.3663307682419841E-2</v>
      </c>
      <c r="N9" s="26">
        <f t="shared" si="8"/>
        <v>1.0886485301985048E-2</v>
      </c>
    </row>
    <row r="10" spans="1:14" x14ac:dyDescent="0.3">
      <c r="A10" s="20">
        <v>16</v>
      </c>
      <c r="B10" s="21"/>
      <c r="C10" s="21"/>
      <c r="D10" s="21"/>
      <c r="E10" s="21" t="e">
        <f>B10/C10</f>
        <v>#DIV/0!</v>
      </c>
      <c r="F10" s="22">
        <v>16.229478458049886</v>
      </c>
      <c r="G10" s="23">
        <f>F10*COS(RADIANS(A10))</f>
        <v>15.600775986779446</v>
      </c>
      <c r="H10" s="23">
        <f>F10*SIN(RADIANS(A10))</f>
        <v>4.4734505284658193</v>
      </c>
      <c r="I10" s="24">
        <f>COS(RADIANS(A10))</f>
        <v>0.96126169593831889</v>
      </c>
      <c r="J10" s="24">
        <f>SIN(RADIANS(A10))</f>
        <v>0.27563735581699916</v>
      </c>
      <c r="K10" s="25">
        <f>-SIN(RADIANS(A10))</f>
        <v>-0.27563735581699916</v>
      </c>
      <c r="L10" s="25">
        <f>COS(RADIANS(A10))</f>
        <v>0.96126169593831889</v>
      </c>
      <c r="M10" s="26">
        <f t="shared" si="7"/>
        <v>4.3256776317224348E-2</v>
      </c>
      <c r="N10" s="26">
        <f t="shared" si="8"/>
        <v>1.2403681011764962E-2</v>
      </c>
    </row>
    <row r="11" spans="1:14" ht="19" customHeight="1" x14ac:dyDescent="0.3">
      <c r="A11" s="20">
        <v>18</v>
      </c>
      <c r="B11" s="21"/>
      <c r="C11" s="21"/>
      <c r="D11" s="21"/>
      <c r="E11" s="21" t="e">
        <f t="shared" si="2"/>
        <v>#DIV/0!</v>
      </c>
      <c r="F11" s="22">
        <v>16.229478458049886</v>
      </c>
      <c r="G11" s="23">
        <f t="shared" si="0"/>
        <v>15.435151243600165</v>
      </c>
      <c r="H11" s="23">
        <f t="shared" si="1"/>
        <v>5.0151846533795315</v>
      </c>
      <c r="I11" s="24">
        <f t="shared" si="3"/>
        <v>0.95105651629515353</v>
      </c>
      <c r="J11" s="24">
        <f t="shared" si="4"/>
        <v>0.3090169943749474</v>
      </c>
      <c r="K11" s="25">
        <f t="shared" si="5"/>
        <v>-0.3090169943749474</v>
      </c>
      <c r="L11" s="25">
        <f t="shared" si="6"/>
        <v>0.95105651629515353</v>
      </c>
      <c r="M11" s="26">
        <f t="shared" si="7"/>
        <v>4.2797543233281908E-2</v>
      </c>
      <c r="N11" s="26">
        <f t="shared" si="8"/>
        <v>1.3905764746872632E-2</v>
      </c>
    </row>
    <row r="12" spans="1:14" ht="19" customHeight="1" x14ac:dyDescent="0.3">
      <c r="A12" s="20">
        <v>20</v>
      </c>
      <c r="B12" s="21"/>
      <c r="C12" s="21"/>
      <c r="D12" s="21"/>
      <c r="E12" s="21" t="e">
        <f t="shared" si="2"/>
        <v>#DIV/0!</v>
      </c>
      <c r="F12" s="22">
        <v>16.229478458049886</v>
      </c>
      <c r="G12" s="23">
        <f t="shared" si="0"/>
        <v>15.250721146233342</v>
      </c>
      <c r="H12" s="23">
        <f t="shared" si="1"/>
        <v>5.5508085483230749</v>
      </c>
      <c r="I12" s="24">
        <f t="shared" si="3"/>
        <v>0.93969262078590843</v>
      </c>
      <c r="J12" s="24">
        <f t="shared" si="4"/>
        <v>0.34202014332566871</v>
      </c>
      <c r="K12" s="25">
        <f t="shared" si="5"/>
        <v>-0.34202014332566871</v>
      </c>
      <c r="L12" s="25">
        <f t="shared" si="6"/>
        <v>0.93969262078590843</v>
      </c>
      <c r="M12" s="26">
        <f t="shared" si="7"/>
        <v>4.2286167935365875E-2</v>
      </c>
      <c r="N12" s="26">
        <f t="shared" si="8"/>
        <v>1.5390906449655092E-2</v>
      </c>
    </row>
    <row r="13" spans="1:14" ht="19" hidden="1" customHeight="1" x14ac:dyDescent="0.3">
      <c r="A13" s="9">
        <v>22</v>
      </c>
      <c r="B13" s="10"/>
      <c r="C13" s="10"/>
      <c r="D13" s="10"/>
      <c r="E13" s="10" t="e">
        <f t="shared" si="2"/>
        <v>#DIV/0!</v>
      </c>
      <c r="F13" s="4">
        <v>25</v>
      </c>
      <c r="G13" s="5">
        <f t="shared" si="0"/>
        <v>23.179596364169686</v>
      </c>
      <c r="H13" s="5">
        <f t="shared" si="1"/>
        <v>9.3651648353978008</v>
      </c>
      <c r="I13" s="6">
        <f t="shared" si="3"/>
        <v>0.92718385456678742</v>
      </c>
      <c r="J13" s="6">
        <f t="shared" si="4"/>
        <v>0.37460659341591201</v>
      </c>
      <c r="K13" s="7">
        <f t="shared" si="5"/>
        <v>-0.37460659341591201</v>
      </c>
      <c r="L13" s="7">
        <f t="shared" si="6"/>
        <v>0.92718385456678742</v>
      </c>
      <c r="M13" s="8">
        <f t="shared" si="7"/>
        <v>4.172327345550543E-2</v>
      </c>
      <c r="N13" s="8">
        <f t="shared" si="8"/>
        <v>1.6857296703716041E-2</v>
      </c>
    </row>
    <row r="14" spans="1:14" ht="19" customHeight="1" x14ac:dyDescent="0.3"/>
    <row r="15" spans="1:14" ht="19" customHeight="1" x14ac:dyDescent="0.3"/>
    <row r="40" spans="2:7" x14ac:dyDescent="0.3">
      <c r="B40" s="227" t="s">
        <v>14</v>
      </c>
      <c r="C40" s="228"/>
      <c r="D40" s="228"/>
      <c r="E40" s="228"/>
      <c r="F40" s="228"/>
      <c r="G40" s="228"/>
    </row>
  </sheetData>
  <mergeCells count="1">
    <mergeCell ref="B40:G40"/>
  </mergeCells>
  <hyperlinks>
    <hyperlink ref="B40" r:id="rId1" location="polars" xr:uid="{00000000-0004-0000-0200-000000000000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"/>
  <sheetViews>
    <sheetView zoomScaleNormal="100" workbookViewId="0">
      <selection sqref="A1:L10"/>
    </sheetView>
  </sheetViews>
  <sheetFormatPr defaultColWidth="8.88671875" defaultRowHeight="15.05" x14ac:dyDescent="0.3"/>
  <cols>
    <col min="1" max="1" width="8.88671875" style="3"/>
    <col min="2" max="2" width="9.6640625" style="11" customWidth="1"/>
    <col min="3" max="3" width="10.5546875" style="11" bestFit="1" customWidth="1"/>
    <col min="4" max="4" width="10" style="11" bestFit="1" customWidth="1"/>
    <col min="5" max="5" width="9.44140625" style="11" bestFit="1" customWidth="1"/>
    <col min="6" max="6" width="8.88671875" style="1"/>
    <col min="7" max="7" width="8" style="1" customWidth="1"/>
    <col min="8" max="16384" width="8.88671875" style="1"/>
  </cols>
  <sheetData>
    <row r="1" spans="1:14" ht="19" customHeight="1" x14ac:dyDescent="0.3">
      <c r="A1" s="153" t="s">
        <v>2</v>
      </c>
      <c r="B1" s="154" t="s">
        <v>1</v>
      </c>
      <c r="C1" s="154" t="s">
        <v>0</v>
      </c>
      <c r="D1" s="154" t="s">
        <v>3</v>
      </c>
      <c r="E1" s="154" t="s">
        <v>13</v>
      </c>
      <c r="F1" s="144" t="s">
        <v>12</v>
      </c>
      <c r="G1" s="144" t="s">
        <v>4</v>
      </c>
      <c r="H1" s="144" t="s">
        <v>5</v>
      </c>
      <c r="I1" s="144" t="s">
        <v>6</v>
      </c>
      <c r="J1" s="144" t="s">
        <v>7</v>
      </c>
      <c r="K1" s="144" t="s">
        <v>8</v>
      </c>
      <c r="L1" s="144" t="s">
        <v>9</v>
      </c>
      <c r="M1" s="155" t="s">
        <v>10</v>
      </c>
      <c r="N1" s="155" t="s">
        <v>11</v>
      </c>
    </row>
    <row r="2" spans="1:14" ht="19" customHeight="1" x14ac:dyDescent="0.3">
      <c r="A2" s="146">
        <v>0</v>
      </c>
      <c r="B2" s="161">
        <v>0</v>
      </c>
      <c r="C2" s="162">
        <v>0</v>
      </c>
      <c r="D2" s="161">
        <v>0</v>
      </c>
      <c r="E2" s="148" t="e">
        <f t="shared" ref="E2:E6" si="0">B2/C2</f>
        <v>#DIV/0!</v>
      </c>
      <c r="F2" s="22">
        <v>16.23</v>
      </c>
      <c r="G2" s="23">
        <f>F2*COS(RADIANS(A2))</f>
        <v>16.23</v>
      </c>
      <c r="H2" s="156">
        <f t="shared" ref="H2:H13" si="1">F2*SIN(RADIANS(A2))</f>
        <v>0</v>
      </c>
      <c r="I2" s="157">
        <f>COS(RADIANS(A2))</f>
        <v>1</v>
      </c>
      <c r="J2" s="157">
        <f>SIN(RADIANS(A2))</f>
        <v>0</v>
      </c>
      <c r="K2" s="158">
        <f>-SIN(RADIANS(A2))</f>
        <v>0</v>
      </c>
      <c r="L2" s="158">
        <f>COS(RADIANS(A2))</f>
        <v>1</v>
      </c>
      <c r="M2" s="159">
        <f>0.045*I2</f>
        <v>4.4999999999999998E-2</v>
      </c>
      <c r="N2" s="159">
        <f>0.045*J2</f>
        <v>0</v>
      </c>
    </row>
    <row r="3" spans="1:14" ht="19" customHeight="1" x14ac:dyDescent="0.3">
      <c r="A3" s="146">
        <v>2</v>
      </c>
      <c r="B3" s="162"/>
      <c r="C3" s="162"/>
      <c r="D3" s="162"/>
      <c r="E3" s="148" t="e">
        <f t="shared" si="0"/>
        <v>#DIV/0!</v>
      </c>
      <c r="F3" s="22">
        <v>16.23</v>
      </c>
      <c r="G3" s="156">
        <f t="shared" ref="G3:G13" si="2">F3*COS(RADIANS(A3))</f>
        <v>16.220113122519926</v>
      </c>
      <c r="H3" s="156">
        <f t="shared" si="1"/>
        <v>0.56641883148159078</v>
      </c>
      <c r="I3" s="157">
        <f t="shared" ref="I3:I13" si="3">COS(RADIANS(A3))</f>
        <v>0.99939082701909576</v>
      </c>
      <c r="J3" s="157">
        <f t="shared" ref="J3:J13" si="4">SIN(RADIANS(A3))</f>
        <v>3.4899496702500969E-2</v>
      </c>
      <c r="K3" s="158">
        <f t="shared" ref="K3:K13" si="5">-SIN(RADIANS(A3))</f>
        <v>-3.4899496702500969E-2</v>
      </c>
      <c r="L3" s="158">
        <f t="shared" ref="L3:L13" si="6">COS(RADIANS(A3))</f>
        <v>0.99939082701909576</v>
      </c>
      <c r="M3" s="159">
        <f t="shared" ref="M3:N13" si="7">0.045*I3</f>
        <v>4.4972587215859311E-2</v>
      </c>
      <c r="N3" s="159">
        <f t="shared" si="7"/>
        <v>1.5704773516125436E-3</v>
      </c>
    </row>
    <row r="4" spans="1:14" ht="19" customHeight="1" x14ac:dyDescent="0.3">
      <c r="A4" s="146">
        <v>4</v>
      </c>
      <c r="B4" s="28"/>
      <c r="C4" s="28"/>
      <c r="D4" s="28"/>
      <c r="E4" s="148" t="e">
        <f t="shared" si="0"/>
        <v>#DIV/0!</v>
      </c>
      <c r="F4" s="22">
        <v>16.23</v>
      </c>
      <c r="G4" s="156">
        <f t="shared" si="2"/>
        <v>16.190464535716949</v>
      </c>
      <c r="H4" s="156">
        <f t="shared" si="1"/>
        <v>1.1321475688671536</v>
      </c>
      <c r="I4" s="157">
        <f t="shared" si="3"/>
        <v>0.9975640502598242</v>
      </c>
      <c r="J4" s="157">
        <f t="shared" si="4"/>
        <v>6.9756473744125302E-2</v>
      </c>
      <c r="K4" s="158">
        <f t="shared" si="5"/>
        <v>-6.9756473744125302E-2</v>
      </c>
      <c r="L4" s="158">
        <f t="shared" si="6"/>
        <v>0.9975640502598242</v>
      </c>
      <c r="M4" s="159">
        <f t="shared" si="7"/>
        <v>4.4890382261692084E-2</v>
      </c>
      <c r="N4" s="159">
        <f t="shared" si="7"/>
        <v>3.1390413184856384E-3</v>
      </c>
    </row>
    <row r="5" spans="1:14" ht="19" customHeight="1" x14ac:dyDescent="0.3">
      <c r="A5" s="146">
        <v>6</v>
      </c>
      <c r="B5" s="28"/>
      <c r="C5" s="28"/>
      <c r="D5" s="28"/>
      <c r="E5" s="148" t="e">
        <f t="shared" si="0"/>
        <v>#DIV/0!</v>
      </c>
      <c r="F5" s="22">
        <v>16.23</v>
      </c>
      <c r="G5" s="156">
        <f t="shared" si="2"/>
        <v>16.141090361827075</v>
      </c>
      <c r="H5" s="156">
        <f t="shared" si="1"/>
        <v>1.696496958834016</v>
      </c>
      <c r="I5" s="157">
        <f t="shared" si="3"/>
        <v>0.99452189536827329</v>
      </c>
      <c r="J5" s="157">
        <f t="shared" si="4"/>
        <v>0.10452846326765347</v>
      </c>
      <c r="K5" s="158">
        <f t="shared" si="5"/>
        <v>-0.10452846326765347</v>
      </c>
      <c r="L5" s="158">
        <f t="shared" si="6"/>
        <v>0.99452189536827329</v>
      </c>
      <c r="M5" s="159">
        <f t="shared" si="7"/>
        <v>4.4753485291572297E-2</v>
      </c>
      <c r="N5" s="159">
        <f t="shared" si="7"/>
        <v>4.7037808470444063E-3</v>
      </c>
    </row>
    <row r="6" spans="1:14" ht="19" customHeight="1" x14ac:dyDescent="0.3">
      <c r="A6" s="146">
        <v>8</v>
      </c>
      <c r="B6" s="162"/>
      <c r="C6" s="162"/>
      <c r="D6" s="162"/>
      <c r="E6" s="148" t="e">
        <f t="shared" si="0"/>
        <v>#DIV/0!</v>
      </c>
      <c r="F6" s="22">
        <v>16.23</v>
      </c>
      <c r="G6" s="156">
        <f t="shared" si="2"/>
        <v>16.072050755675686</v>
      </c>
      <c r="H6" s="156">
        <f t="shared" si="1"/>
        <v>2.2587794285818621</v>
      </c>
      <c r="I6" s="157">
        <f t="shared" si="3"/>
        <v>0.99026806874157036</v>
      </c>
      <c r="J6" s="157">
        <f t="shared" si="4"/>
        <v>0.13917310096006544</v>
      </c>
      <c r="K6" s="158">
        <f t="shared" si="5"/>
        <v>-0.13917310096006544</v>
      </c>
      <c r="L6" s="158">
        <f t="shared" si="6"/>
        <v>0.99026806874157036</v>
      </c>
      <c r="M6" s="159">
        <f t="shared" si="7"/>
        <v>4.4562063093370664E-2</v>
      </c>
      <c r="N6" s="159">
        <f t="shared" si="7"/>
        <v>6.2627895432029448E-3</v>
      </c>
    </row>
    <row r="7" spans="1:14" ht="19" customHeight="1" x14ac:dyDescent="0.3">
      <c r="A7" s="146">
        <v>10</v>
      </c>
      <c r="B7" s="147"/>
      <c r="C7" s="147"/>
      <c r="D7" s="147"/>
      <c r="E7" s="148" t="e">
        <f>B7/C7</f>
        <v>#DIV/0!</v>
      </c>
      <c r="F7" s="22">
        <v>16.23</v>
      </c>
      <c r="G7" s="156">
        <f t="shared" si="2"/>
        <v>15.983429831388136</v>
      </c>
      <c r="H7" s="156">
        <f t="shared" si="1"/>
        <v>2.8183099235342794</v>
      </c>
      <c r="I7" s="157">
        <f t="shared" si="3"/>
        <v>0.98480775301220802</v>
      </c>
      <c r="J7" s="157">
        <f t="shared" si="4"/>
        <v>0.17364817766693033</v>
      </c>
      <c r="K7" s="158">
        <f t="shared" si="5"/>
        <v>-0.17364817766693033</v>
      </c>
      <c r="L7" s="158">
        <f t="shared" si="6"/>
        <v>0.98480775301220802</v>
      </c>
      <c r="M7" s="159">
        <f t="shared" si="7"/>
        <v>4.4316348885549361E-2</v>
      </c>
      <c r="N7" s="159">
        <f t="shared" si="7"/>
        <v>7.8141679950118649E-3</v>
      </c>
    </row>
    <row r="8" spans="1:14" ht="19" customHeight="1" x14ac:dyDescent="0.3">
      <c r="A8" s="146">
        <v>12</v>
      </c>
      <c r="B8" s="148"/>
      <c r="C8" s="148"/>
      <c r="D8" s="148"/>
      <c r="E8" s="148" t="e">
        <f t="shared" ref="E8:E12" si="8">B8/C8</f>
        <v>#DIV/0!</v>
      </c>
      <c r="F8" s="22">
        <v>16.23</v>
      </c>
      <c r="G8" s="156">
        <f t="shared" si="2"/>
        <v>15.875335559909667</v>
      </c>
      <c r="H8" s="156">
        <f t="shared" si="1"/>
        <v>3.3744067419722343</v>
      </c>
      <c r="I8" s="157">
        <f t="shared" si="3"/>
        <v>0.97814760073380569</v>
      </c>
      <c r="J8" s="157">
        <f t="shared" si="4"/>
        <v>0.20791169081775934</v>
      </c>
      <c r="K8" s="158">
        <f t="shared" si="5"/>
        <v>-0.20791169081775934</v>
      </c>
      <c r="L8" s="158">
        <f t="shared" si="6"/>
        <v>0.97814760073380569</v>
      </c>
      <c r="M8" s="159">
        <f t="shared" si="7"/>
        <v>4.4016642033021254E-2</v>
      </c>
      <c r="N8" s="159">
        <f t="shared" si="7"/>
        <v>9.3560260867991702E-3</v>
      </c>
    </row>
    <row r="9" spans="1:14" ht="21.45" customHeight="1" x14ac:dyDescent="0.3">
      <c r="A9" s="146">
        <v>14</v>
      </c>
      <c r="B9" s="148"/>
      <c r="C9" s="148"/>
      <c r="D9" s="148"/>
      <c r="E9" s="148" t="e">
        <f t="shared" si="8"/>
        <v>#DIV/0!</v>
      </c>
      <c r="F9" s="22">
        <v>16.23</v>
      </c>
      <c r="G9" s="156">
        <f t="shared" si="2"/>
        <v>15.747899637459422</v>
      </c>
      <c r="H9" s="156">
        <f t="shared" si="1"/>
        <v>3.9263923655826072</v>
      </c>
      <c r="I9" s="157">
        <f t="shared" si="3"/>
        <v>0.97029572627599647</v>
      </c>
      <c r="J9" s="157">
        <f t="shared" si="4"/>
        <v>0.24192189559966773</v>
      </c>
      <c r="K9" s="158">
        <f t="shared" si="5"/>
        <v>-0.24192189559966773</v>
      </c>
      <c r="L9" s="158">
        <f t="shared" si="6"/>
        <v>0.97029572627599647</v>
      </c>
      <c r="M9" s="159">
        <f t="shared" si="7"/>
        <v>4.3663307682419841E-2</v>
      </c>
      <c r="N9" s="159">
        <f t="shared" si="7"/>
        <v>1.0886485301985048E-2</v>
      </c>
    </row>
    <row r="10" spans="1:14" ht="21.45" customHeight="1" x14ac:dyDescent="0.3">
      <c r="A10" s="146">
        <v>16</v>
      </c>
      <c r="B10" s="148"/>
      <c r="C10" s="148"/>
      <c r="D10" s="148"/>
      <c r="E10" s="148" t="e">
        <f t="shared" si="8"/>
        <v>#DIV/0!</v>
      </c>
      <c r="F10" s="22">
        <v>16.23</v>
      </c>
      <c r="G10" s="156">
        <f>F10*COS(RADIANS(A10))</f>
        <v>15.601277325078916</v>
      </c>
      <c r="H10" s="156">
        <f>F10*SIN(RADIANS(A10))</f>
        <v>4.4735942849098969</v>
      </c>
      <c r="I10" s="157">
        <f>COS(RADIANS(A10))</f>
        <v>0.96126169593831889</v>
      </c>
      <c r="J10" s="157">
        <f>SIN(RADIANS(A10))</f>
        <v>0.27563735581699916</v>
      </c>
      <c r="K10" s="158">
        <f>-SIN(RADIANS(A10))</f>
        <v>-0.27563735581699916</v>
      </c>
      <c r="L10" s="158">
        <f>COS(RADIANS(A10))</f>
        <v>0.96126169593831889</v>
      </c>
      <c r="M10" s="159">
        <f t="shared" si="7"/>
        <v>4.3256776317224348E-2</v>
      </c>
      <c r="N10" s="159">
        <f t="shared" si="7"/>
        <v>1.2403681011764962E-2</v>
      </c>
    </row>
    <row r="11" spans="1:14" ht="19" hidden="1" customHeight="1" x14ac:dyDescent="0.3">
      <c r="A11" s="146">
        <v>18</v>
      </c>
      <c r="B11" s="148"/>
      <c r="C11" s="148"/>
      <c r="D11" s="148"/>
      <c r="E11" s="148" t="e">
        <f t="shared" si="8"/>
        <v>#DIV/0!</v>
      </c>
      <c r="F11" s="147">
        <v>25</v>
      </c>
      <c r="G11" s="156">
        <f t="shared" si="2"/>
        <v>23.776412907378838</v>
      </c>
      <c r="H11" s="156">
        <f t="shared" si="1"/>
        <v>7.7254248593736845</v>
      </c>
      <c r="I11" s="157">
        <f t="shared" si="3"/>
        <v>0.95105651629515353</v>
      </c>
      <c r="J11" s="157">
        <f t="shared" si="4"/>
        <v>0.3090169943749474</v>
      </c>
      <c r="K11" s="158">
        <f t="shared" si="5"/>
        <v>-0.3090169943749474</v>
      </c>
      <c r="L11" s="158">
        <f t="shared" si="6"/>
        <v>0.95105651629515353</v>
      </c>
      <c r="M11" s="159">
        <f t="shared" si="7"/>
        <v>4.2797543233281908E-2</v>
      </c>
      <c r="N11" s="159">
        <f t="shared" si="7"/>
        <v>1.3905764746872632E-2</v>
      </c>
    </row>
    <row r="12" spans="1:14" ht="19" hidden="1" customHeight="1" x14ac:dyDescent="0.3">
      <c r="A12" s="146">
        <v>20</v>
      </c>
      <c r="B12" s="148"/>
      <c r="C12" s="148"/>
      <c r="D12" s="148"/>
      <c r="E12" s="148" t="e">
        <f t="shared" si="8"/>
        <v>#DIV/0!</v>
      </c>
      <c r="F12" s="147">
        <v>25</v>
      </c>
      <c r="G12" s="156">
        <f t="shared" si="2"/>
        <v>23.492315519647711</v>
      </c>
      <c r="H12" s="156">
        <f t="shared" si="1"/>
        <v>8.5505035831417171</v>
      </c>
      <c r="I12" s="157">
        <f t="shared" si="3"/>
        <v>0.93969262078590843</v>
      </c>
      <c r="J12" s="157">
        <f t="shared" si="4"/>
        <v>0.34202014332566871</v>
      </c>
      <c r="K12" s="158">
        <f t="shared" si="5"/>
        <v>-0.34202014332566871</v>
      </c>
      <c r="L12" s="158">
        <f t="shared" si="6"/>
        <v>0.93969262078590843</v>
      </c>
      <c r="M12" s="159">
        <f t="shared" si="7"/>
        <v>4.2286167935365875E-2</v>
      </c>
      <c r="N12" s="159">
        <f t="shared" si="7"/>
        <v>1.5390906449655092E-2</v>
      </c>
    </row>
    <row r="13" spans="1:14" ht="19" hidden="1" customHeight="1" x14ac:dyDescent="0.3">
      <c r="A13" s="146">
        <v>22</v>
      </c>
      <c r="B13" s="148"/>
      <c r="C13" s="148"/>
      <c r="D13" s="148"/>
      <c r="E13" s="148" t="e">
        <f t="shared" ref="E13" si="9">B13/C13</f>
        <v>#DIV/0!</v>
      </c>
      <c r="F13" s="147">
        <v>25</v>
      </c>
      <c r="G13" s="156">
        <f t="shared" si="2"/>
        <v>23.179596364169686</v>
      </c>
      <c r="H13" s="156">
        <f t="shared" si="1"/>
        <v>9.3651648353978008</v>
      </c>
      <c r="I13" s="160">
        <f t="shared" si="3"/>
        <v>0.92718385456678742</v>
      </c>
      <c r="J13" s="160">
        <f t="shared" si="4"/>
        <v>0.37460659341591201</v>
      </c>
      <c r="K13" s="158">
        <f t="shared" si="5"/>
        <v>-0.37460659341591201</v>
      </c>
      <c r="L13" s="158">
        <f t="shared" si="6"/>
        <v>0.92718385456678742</v>
      </c>
      <c r="M13" s="159">
        <f t="shared" si="7"/>
        <v>4.172327345550543E-2</v>
      </c>
      <c r="N13" s="159">
        <f t="shared" si="7"/>
        <v>1.6857296703716041E-2</v>
      </c>
    </row>
    <row r="14" spans="1:14" ht="19" customHeight="1" x14ac:dyDescent="0.3"/>
    <row r="15" spans="1:14" ht="19" customHeight="1" x14ac:dyDescent="0.3"/>
    <row r="40" spans="2:7" x14ac:dyDescent="0.3">
      <c r="B40" s="227" t="s">
        <v>14</v>
      </c>
      <c r="C40" s="228"/>
      <c r="D40" s="228"/>
      <c r="E40" s="228"/>
      <c r="F40" s="228"/>
      <c r="G40" s="228"/>
    </row>
  </sheetData>
  <mergeCells count="1">
    <mergeCell ref="B40:G40"/>
  </mergeCells>
  <hyperlinks>
    <hyperlink ref="B40" r:id="rId1" location="polars" xr:uid="{00000000-0004-0000-0300-000000000000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zoomScale="130" zoomScaleNormal="130" workbookViewId="0">
      <selection activeCell="B11" sqref="B11"/>
    </sheetView>
  </sheetViews>
  <sheetFormatPr defaultRowHeight="15.05" x14ac:dyDescent="0.3"/>
  <cols>
    <col min="1" max="1" width="13" customWidth="1"/>
    <col min="2" max="2" width="23.109375" style="37" customWidth="1"/>
    <col min="3" max="3" width="21.6640625" style="38" customWidth="1"/>
    <col min="4" max="4" width="32.5546875" customWidth="1"/>
    <col min="5" max="5" width="21.6640625" customWidth="1"/>
    <col min="6" max="6" width="11.6640625" bestFit="1" customWidth="1"/>
    <col min="7" max="7" width="8.88671875" customWidth="1"/>
  </cols>
  <sheetData>
    <row r="1" spans="1:9" s="3" customFormat="1" ht="20.95" customHeight="1" x14ac:dyDescent="0.3">
      <c r="A1" s="70" t="s">
        <v>47</v>
      </c>
      <c r="B1" s="69" t="s">
        <v>48</v>
      </c>
      <c r="C1" s="71" t="s">
        <v>49</v>
      </c>
      <c r="E1" s="233" t="s">
        <v>15</v>
      </c>
      <c r="F1" s="234"/>
      <c r="G1" s="234"/>
      <c r="H1" s="234"/>
      <c r="I1" s="235"/>
    </row>
    <row r="2" spans="1:9" ht="15.75" thickBot="1" x14ac:dyDescent="0.35">
      <c r="A2" s="58" t="s">
        <v>17</v>
      </c>
      <c r="B2" s="67">
        <v>0.22500000000000001</v>
      </c>
      <c r="C2" s="59" t="s">
        <v>58</v>
      </c>
      <c r="E2" s="236"/>
      <c r="F2" s="237"/>
      <c r="G2" s="237"/>
      <c r="H2" s="237"/>
      <c r="I2" s="238"/>
    </row>
    <row r="3" spans="1:9" ht="15.75" thickBot="1" x14ac:dyDescent="0.35">
      <c r="A3" s="58" t="s">
        <v>18</v>
      </c>
      <c r="B3" s="40">
        <v>25</v>
      </c>
      <c r="C3" s="59" t="s">
        <v>58</v>
      </c>
    </row>
    <row r="4" spans="1:9" x14ac:dyDescent="0.3">
      <c r="A4" s="58" t="s">
        <v>16</v>
      </c>
      <c r="B4" s="39">
        <v>1.2250000000000001</v>
      </c>
      <c r="C4" s="59" t="s">
        <v>58</v>
      </c>
      <c r="E4" s="250" t="s">
        <v>31</v>
      </c>
      <c r="F4" s="251"/>
      <c r="G4" s="251"/>
      <c r="H4" s="251"/>
      <c r="I4" s="252"/>
    </row>
    <row r="5" spans="1:9" x14ac:dyDescent="0.3">
      <c r="A5" s="60" t="s">
        <v>51</v>
      </c>
      <c r="B5" s="181">
        <f>F16</f>
        <v>1.8120528203955786E-5</v>
      </c>
      <c r="C5" s="61" t="s">
        <v>53</v>
      </c>
      <c r="E5" s="256" t="s">
        <v>19</v>
      </c>
      <c r="F5" s="258" t="s">
        <v>30</v>
      </c>
      <c r="G5" s="259"/>
      <c r="H5" s="259"/>
      <c r="I5" s="260"/>
    </row>
    <row r="6" spans="1:9" ht="15.75" thickBot="1" x14ac:dyDescent="0.35">
      <c r="A6" s="62" t="s">
        <v>42</v>
      </c>
      <c r="B6" s="29">
        <f xml:space="preserve"> (B4*B3*B2) /B5</f>
        <v>380266.23299511481</v>
      </c>
      <c r="C6" s="63" t="s">
        <v>50</v>
      </c>
      <c r="E6" s="257"/>
      <c r="F6" s="261"/>
      <c r="G6" s="262"/>
      <c r="H6" s="262"/>
      <c r="I6" s="263"/>
    </row>
    <row r="7" spans="1:9" ht="15.75" thickBot="1" x14ac:dyDescent="0.35">
      <c r="A7" s="64" t="s">
        <v>45</v>
      </c>
      <c r="B7" s="29">
        <f xml:space="preserve"> 0.026 /(B6 ^(1/7))</f>
        <v>4.1478013949869203E-3</v>
      </c>
      <c r="C7" s="61" t="s">
        <v>52</v>
      </c>
    </row>
    <row r="8" spans="1:9" x14ac:dyDescent="0.3">
      <c r="A8" s="64" t="s">
        <v>43</v>
      </c>
      <c r="B8" s="29">
        <f>B7*B4*B3*B3 / 2</f>
        <v>1.5878302215184306</v>
      </c>
      <c r="C8" s="61" t="s">
        <v>55</v>
      </c>
      <c r="E8" s="253" t="s">
        <v>21</v>
      </c>
      <c r="F8" s="254"/>
      <c r="G8" s="254"/>
      <c r="H8" s="255"/>
      <c r="I8" s="244" t="s">
        <v>36</v>
      </c>
    </row>
    <row r="9" spans="1:9" x14ac:dyDescent="0.3">
      <c r="A9" s="64" t="s">
        <v>44</v>
      </c>
      <c r="B9" s="29">
        <f>(B8/B4)^0.5</f>
        <v>1.1385024971133848</v>
      </c>
      <c r="C9" s="61" t="s">
        <v>56</v>
      </c>
      <c r="E9" s="42"/>
      <c r="F9" s="32" t="s">
        <v>23</v>
      </c>
      <c r="G9" s="32" t="s">
        <v>24</v>
      </c>
      <c r="H9" s="33" t="s">
        <v>32</v>
      </c>
      <c r="I9" s="245"/>
    </row>
    <row r="10" spans="1:9" x14ac:dyDescent="0.3">
      <c r="A10" s="64" t="s">
        <v>46</v>
      </c>
      <c r="B10" s="29">
        <v>1</v>
      </c>
      <c r="C10" s="61" t="s">
        <v>54</v>
      </c>
      <c r="E10" s="42" t="s">
        <v>22</v>
      </c>
      <c r="F10" s="32">
        <v>15</v>
      </c>
      <c r="G10" s="32">
        <f xml:space="preserve"> F10+273.15</f>
        <v>288.14999999999998</v>
      </c>
      <c r="H10" s="33">
        <f>G10 *9/5</f>
        <v>518.66999999999996</v>
      </c>
      <c r="I10" s="245"/>
    </row>
    <row r="11" spans="1:9" x14ac:dyDescent="0.3">
      <c r="A11" s="65" t="s">
        <v>59</v>
      </c>
      <c r="B11" s="181">
        <f>(B10*B5)/(B9*B4)</f>
        <v>1.2992740867149261E-5</v>
      </c>
      <c r="C11" s="239" t="s">
        <v>57</v>
      </c>
      <c r="E11" s="43" t="s">
        <v>25</v>
      </c>
      <c r="F11" s="3">
        <v>18</v>
      </c>
      <c r="G11" s="3">
        <f xml:space="preserve"> F11+273.15</f>
        <v>291.14999999999998</v>
      </c>
      <c r="H11" s="2">
        <f>G11 *9/5</f>
        <v>524.06999999999994</v>
      </c>
      <c r="I11" s="245"/>
    </row>
    <row r="12" spans="1:9" ht="15.75" thickBot="1" x14ac:dyDescent="0.35">
      <c r="A12" s="65" t="s">
        <v>138</v>
      </c>
      <c r="B12" s="226">
        <f>B11*1000</f>
        <v>1.2992740867149261E-2</v>
      </c>
      <c r="C12" s="240"/>
      <c r="E12" s="43" t="s">
        <v>28</v>
      </c>
      <c r="F12" s="3"/>
      <c r="G12" s="3">
        <v>110.4</v>
      </c>
      <c r="H12" s="2">
        <v>120</v>
      </c>
      <c r="I12" s="245"/>
    </row>
    <row r="13" spans="1:9" ht="15.75" thickBot="1" x14ac:dyDescent="0.35">
      <c r="E13" s="44" t="s">
        <v>26</v>
      </c>
      <c r="F13" s="45">
        <v>1.827E-5</v>
      </c>
      <c r="G13" s="3" t="s">
        <v>27</v>
      </c>
      <c r="H13" s="34"/>
      <c r="I13" s="245"/>
    </row>
    <row r="14" spans="1:9" ht="15.05" customHeight="1" x14ac:dyDescent="0.3">
      <c r="A14" s="229" t="s">
        <v>111</v>
      </c>
      <c r="B14" s="230"/>
      <c r="C14" s="241" t="s">
        <v>110</v>
      </c>
      <c r="E14" s="42" t="s">
        <v>33</v>
      </c>
      <c r="F14" s="32">
        <f>(0.555*H11) + H12</f>
        <v>410.85885000000002</v>
      </c>
      <c r="G14" s="32"/>
      <c r="H14" s="33"/>
      <c r="I14" s="245"/>
    </row>
    <row r="15" spans="1:9" x14ac:dyDescent="0.3">
      <c r="A15" s="231"/>
      <c r="B15" s="232"/>
      <c r="C15" s="242"/>
      <c r="E15" s="43" t="s">
        <v>20</v>
      </c>
      <c r="F15" s="3">
        <f>(0.555*H10) + H12</f>
        <v>407.86185</v>
      </c>
      <c r="G15" s="3"/>
      <c r="H15" s="34"/>
      <c r="I15" s="245"/>
    </row>
    <row r="16" spans="1:9" x14ac:dyDescent="0.3">
      <c r="A16" s="64" t="s">
        <v>108</v>
      </c>
      <c r="B16" s="41">
        <v>1.1585E-6</v>
      </c>
      <c r="C16" s="242"/>
      <c r="E16" s="46" t="s">
        <v>29</v>
      </c>
      <c r="F16" s="31">
        <f xml:space="preserve"> F13 * (F14/F15) * ((G10/G11)^(3/2))</f>
        <v>1.8120528203955786E-5</v>
      </c>
      <c r="G16" s="3" t="s">
        <v>27</v>
      </c>
      <c r="H16" s="35"/>
      <c r="I16" s="245"/>
    </row>
    <row r="17" spans="1:9" ht="15.75" thickBot="1" x14ac:dyDescent="0.35">
      <c r="A17" s="66" t="s">
        <v>109</v>
      </c>
      <c r="B17" s="68">
        <f>B16*1000</f>
        <v>1.1585E-3</v>
      </c>
      <c r="C17" s="243"/>
      <c r="E17" s="42" t="s">
        <v>35</v>
      </c>
      <c r="F17" s="32">
        <f>(G11) +G12</f>
        <v>401.54999999999995</v>
      </c>
      <c r="G17" s="32"/>
      <c r="H17" s="33"/>
      <c r="I17" s="245"/>
    </row>
    <row r="18" spans="1:9" x14ac:dyDescent="0.3">
      <c r="E18" s="43" t="s">
        <v>34</v>
      </c>
      <c r="F18" s="3">
        <f>(G10) + G12</f>
        <v>398.54999999999995</v>
      </c>
      <c r="G18" s="3"/>
      <c r="H18" s="34"/>
      <c r="I18" s="245"/>
    </row>
    <row r="19" spans="1:9" ht="15.75" thickBot="1" x14ac:dyDescent="0.35">
      <c r="A19" t="s">
        <v>112</v>
      </c>
      <c r="B19" s="37">
        <f xml:space="preserve"> (B16*(B9*B4))/B5</f>
        <v>8.9165173987972149E-2</v>
      </c>
      <c r="C19" s="38">
        <v>1E-3</v>
      </c>
      <c r="D19" t="s">
        <v>261</v>
      </c>
      <c r="E19" s="47" t="s">
        <v>29</v>
      </c>
      <c r="F19" s="48">
        <f>F13* (F17/F18) * ((G10/G11)^(1.5))</f>
        <v>1.8123751897638419E-5</v>
      </c>
      <c r="G19" s="49" t="s">
        <v>27</v>
      </c>
      <c r="H19" s="50"/>
      <c r="I19" s="246"/>
    </row>
    <row r="20" spans="1:9" ht="15.75" thickBot="1" x14ac:dyDescent="0.35"/>
    <row r="21" spans="1:9" x14ac:dyDescent="0.3">
      <c r="E21" s="51" t="s">
        <v>39</v>
      </c>
      <c r="F21" s="52">
        <f>G10</f>
        <v>288.14999999999998</v>
      </c>
      <c r="G21" s="52" t="s">
        <v>38</v>
      </c>
      <c r="H21" s="53">
        <v>273.14999999999998</v>
      </c>
      <c r="I21" s="247" t="s">
        <v>41</v>
      </c>
    </row>
    <row r="22" spans="1:9" x14ac:dyDescent="0.3">
      <c r="E22" s="44" t="s">
        <v>26</v>
      </c>
      <c r="F22" s="45">
        <v>1.7159999999999998E-5</v>
      </c>
      <c r="G22" s="3" t="s">
        <v>37</v>
      </c>
      <c r="H22" s="36">
        <v>110.4</v>
      </c>
      <c r="I22" s="248"/>
    </row>
    <row r="23" spans="1:9" x14ac:dyDescent="0.3">
      <c r="E23" s="43" t="s">
        <v>35</v>
      </c>
      <c r="F23">
        <f>H21+H22</f>
        <v>383.54999999999995</v>
      </c>
      <c r="H23" s="30"/>
      <c r="I23" s="248"/>
    </row>
    <row r="24" spans="1:9" x14ac:dyDescent="0.3">
      <c r="E24" s="43" t="s">
        <v>34</v>
      </c>
      <c r="F24">
        <f>H22+F21</f>
        <v>398.54999999999995</v>
      </c>
      <c r="H24" s="30"/>
      <c r="I24" s="248"/>
    </row>
    <row r="25" spans="1:9" x14ac:dyDescent="0.3">
      <c r="E25" s="43" t="s">
        <v>40</v>
      </c>
      <c r="F25" s="54">
        <f xml:space="preserve"> F22 * (F23/F24) * ((F21/H21)^(3/2))</f>
        <v>1.7892976260350732E-5</v>
      </c>
      <c r="G25" s="3" t="s">
        <v>27</v>
      </c>
      <c r="H25" s="30"/>
      <c r="I25" s="248"/>
    </row>
    <row r="26" spans="1:9" ht="15.75" thickBot="1" x14ac:dyDescent="0.35">
      <c r="E26" s="55"/>
      <c r="F26" s="56"/>
      <c r="G26" s="56"/>
      <c r="H26" s="57"/>
      <c r="I26" s="249"/>
    </row>
  </sheetData>
  <mergeCells count="10">
    <mergeCell ref="I21:I26"/>
    <mergeCell ref="E4:I4"/>
    <mergeCell ref="E8:H8"/>
    <mergeCell ref="E5:E6"/>
    <mergeCell ref="F5:I6"/>
    <mergeCell ref="A14:B15"/>
    <mergeCell ref="E1:I2"/>
    <mergeCell ref="C11:C12"/>
    <mergeCell ref="C14:C17"/>
    <mergeCell ref="I8:I19"/>
  </mergeCells>
  <conditionalFormatting sqref="B12 B17">
    <cfRule type="cellIs" dxfId="2" priority="5" operator="lessThan">
      <formula>0.006972897</formula>
    </cfRule>
  </conditionalFormatting>
  <conditionalFormatting sqref="B19">
    <cfRule type="cellIs" dxfId="1" priority="1" stopIfTrue="1" operator="lessThan">
      <formula>$C$19</formula>
    </cfRule>
  </conditionalFormatting>
  <conditionalFormatting sqref="B19:C19">
    <cfRule type="cellIs" dxfId="0" priority="2" stopIfTrue="1" operator="greaterThan">
      <formula>$C$19</formula>
    </cfRule>
  </conditionalFormatting>
  <pageMargins left="0.7" right="0.7" top="0.75" bottom="0.75" header="0.3" footer="0.3"/>
  <pageSetup paperSize="9" orientation="landscape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8541368D-FF74-4E1B-BB76-D3A82C09EF3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B17 B12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50"/>
  <sheetViews>
    <sheetView zoomScale="130" zoomScaleNormal="130" workbookViewId="0">
      <selection activeCell="D5" sqref="D5"/>
    </sheetView>
  </sheetViews>
  <sheetFormatPr defaultColWidth="8.88671875" defaultRowHeight="15.05" x14ac:dyDescent="0.3"/>
  <cols>
    <col min="1" max="1" width="10.44140625" style="90" bestFit="1" customWidth="1"/>
    <col min="2" max="2" width="26.109375" style="3" bestFit="1" customWidth="1"/>
    <col min="3" max="3" width="21.6640625" style="78" customWidth="1"/>
    <col min="4" max="4" width="21.88671875" style="78" customWidth="1"/>
    <col min="5" max="6" width="24.88671875" style="3" customWidth="1"/>
    <col min="7" max="8" width="10.33203125" style="3" bestFit="1" customWidth="1"/>
    <col min="9" max="16384" width="8.88671875" style="3"/>
  </cols>
  <sheetData>
    <row r="2" spans="1:8" x14ac:dyDescent="0.3">
      <c r="A2" s="264" t="s">
        <v>176</v>
      </c>
      <c r="B2" s="72" t="s">
        <v>60</v>
      </c>
      <c r="C2" s="77">
        <f>SQRT(2)</f>
        <v>1.4142135623730951</v>
      </c>
      <c r="D2" s="78" t="s">
        <v>132</v>
      </c>
    </row>
    <row r="3" spans="1:8" ht="15.75" thickBot="1" x14ac:dyDescent="0.35">
      <c r="A3" s="265"/>
    </row>
    <row r="4" spans="1:8" x14ac:dyDescent="0.3">
      <c r="A4" s="175" t="s">
        <v>139</v>
      </c>
      <c r="B4" s="74" t="s">
        <v>136</v>
      </c>
      <c r="C4" s="91" t="s">
        <v>65</v>
      </c>
      <c r="D4" s="91" t="s">
        <v>66</v>
      </c>
      <c r="E4" s="92" t="s">
        <v>67</v>
      </c>
      <c r="F4" s="93" t="s">
        <v>68</v>
      </c>
      <c r="G4" s="94" t="s">
        <v>61</v>
      </c>
      <c r="H4" s="95" t="s">
        <v>133</v>
      </c>
    </row>
    <row r="5" spans="1:8" x14ac:dyDescent="0.3">
      <c r="A5" s="176">
        <f>0.0000016258 *1000</f>
        <v>1.6257999999999999E-3</v>
      </c>
      <c r="B5" s="75" t="s">
        <v>62</v>
      </c>
      <c r="C5" s="96">
        <f>C6/C2</f>
        <v>106.06601717798212</v>
      </c>
      <c r="D5" s="96">
        <f t="shared" ref="D5:F5" si="0">D6/$C$2</f>
        <v>176.77669529663686</v>
      </c>
      <c r="E5" s="97">
        <f t="shared" si="0"/>
        <v>106.06601717798212</v>
      </c>
      <c r="F5" s="98">
        <f t="shared" si="0"/>
        <v>84.852813742385692</v>
      </c>
      <c r="G5" s="99">
        <v>100182</v>
      </c>
      <c r="H5" s="100">
        <v>100819</v>
      </c>
    </row>
    <row r="6" spans="1:8" x14ac:dyDescent="0.3">
      <c r="A6" s="176">
        <v>1.1585E-3</v>
      </c>
      <c r="B6" s="75" t="s">
        <v>63</v>
      </c>
      <c r="C6" s="96">
        <v>150</v>
      </c>
      <c r="D6" s="96">
        <v>250</v>
      </c>
      <c r="E6" s="97">
        <v>150</v>
      </c>
      <c r="F6" s="98">
        <v>120</v>
      </c>
      <c r="G6" s="99">
        <v>200000</v>
      </c>
      <c r="H6" s="100">
        <v>200900</v>
      </c>
    </row>
    <row r="7" spans="1:8" ht="15.75" thickBot="1" x14ac:dyDescent="0.35">
      <c r="A7" s="177">
        <f>0.00000081497*1000</f>
        <v>8.1497000000000004E-4</v>
      </c>
      <c r="B7" s="178" t="s">
        <v>64</v>
      </c>
      <c r="C7" s="164">
        <f>C6*$C$2</f>
        <v>212.13203435596427</v>
      </c>
      <c r="D7" s="164">
        <f t="shared" ref="D7:F8" si="1">D6*$C$2</f>
        <v>353.55339059327378</v>
      </c>
      <c r="E7" s="165">
        <f t="shared" si="1"/>
        <v>212.13203435596427</v>
      </c>
      <c r="F7" s="166">
        <f t="shared" si="1"/>
        <v>169.70562748477141</v>
      </c>
      <c r="G7" s="167">
        <v>400020</v>
      </c>
      <c r="H7" s="168">
        <v>401292</v>
      </c>
    </row>
    <row r="8" spans="1:8" ht="15.75" thickBot="1" x14ac:dyDescent="0.35">
      <c r="A8" s="180" t="s">
        <v>208</v>
      </c>
      <c r="B8" s="76" t="s">
        <v>203</v>
      </c>
      <c r="C8" s="101">
        <f>C7*$C$2</f>
        <v>300.00000000000006</v>
      </c>
      <c r="D8" s="101">
        <f t="shared" si="1"/>
        <v>500.00000000000006</v>
      </c>
      <c r="E8" s="102">
        <f t="shared" si="1"/>
        <v>300.00000000000006</v>
      </c>
      <c r="F8" s="103">
        <f>F7*$C$2</f>
        <v>240.00000000000003</v>
      </c>
      <c r="G8" s="104">
        <v>840000</v>
      </c>
      <c r="H8" s="179">
        <v>841800</v>
      </c>
    </row>
    <row r="9" spans="1:8" ht="15.75" thickBot="1" x14ac:dyDescent="0.35">
      <c r="B9" s="34"/>
      <c r="C9" s="171"/>
      <c r="D9" s="171"/>
      <c r="E9" s="172"/>
      <c r="F9" s="169"/>
      <c r="G9" s="170"/>
      <c r="H9" s="170"/>
    </row>
    <row r="10" spans="1:8" x14ac:dyDescent="0.3">
      <c r="B10" s="270" t="s">
        <v>113</v>
      </c>
      <c r="C10" s="88" t="s">
        <v>123</v>
      </c>
      <c r="D10" s="88" t="s">
        <v>122</v>
      </c>
      <c r="E10" s="174" t="s">
        <v>124</v>
      </c>
      <c r="F10" s="275" t="s">
        <v>137</v>
      </c>
    </row>
    <row r="11" spans="1:8" x14ac:dyDescent="0.3">
      <c r="B11" s="271"/>
      <c r="C11" s="81" t="s">
        <v>126</v>
      </c>
      <c r="D11" s="81" t="s">
        <v>125</v>
      </c>
      <c r="E11" s="173" t="s">
        <v>127</v>
      </c>
      <c r="F11" s="276"/>
    </row>
    <row r="12" spans="1:8" ht="30.8" customHeight="1" x14ac:dyDescent="0.3">
      <c r="B12" s="75" t="s">
        <v>114</v>
      </c>
      <c r="C12" s="81" t="s">
        <v>128</v>
      </c>
      <c r="D12" s="81" t="s">
        <v>129</v>
      </c>
      <c r="E12" s="173" t="s">
        <v>115</v>
      </c>
      <c r="F12" s="276"/>
    </row>
    <row r="13" spans="1:8" ht="26.2" x14ac:dyDescent="0.3">
      <c r="B13" s="75" t="s">
        <v>116</v>
      </c>
      <c r="C13" s="81" t="s">
        <v>130</v>
      </c>
      <c r="D13" s="81" t="s">
        <v>131</v>
      </c>
      <c r="E13" s="173"/>
      <c r="F13" s="276"/>
    </row>
    <row r="14" spans="1:8" x14ac:dyDescent="0.3">
      <c r="B14" s="271" t="s">
        <v>117</v>
      </c>
      <c r="C14" s="274"/>
      <c r="D14" s="274"/>
      <c r="E14" s="274"/>
      <c r="F14" s="276"/>
    </row>
    <row r="15" spans="1:8" ht="30.3" customHeight="1" x14ac:dyDescent="0.3">
      <c r="B15" s="75" t="s">
        <v>118</v>
      </c>
      <c r="C15" s="83">
        <v>0.24122399999999999</v>
      </c>
      <c r="D15" s="272" t="s">
        <v>120</v>
      </c>
      <c r="E15" s="272"/>
      <c r="F15" s="276"/>
    </row>
    <row r="16" spans="1:8" ht="30.8" customHeight="1" thickBot="1" x14ac:dyDescent="0.35">
      <c r="B16" s="76" t="s">
        <v>119</v>
      </c>
      <c r="C16" s="84">
        <v>82698.399999999994</v>
      </c>
      <c r="D16" s="273" t="s">
        <v>121</v>
      </c>
      <c r="E16" s="273"/>
      <c r="F16" s="277"/>
    </row>
    <row r="17" spans="2:6" ht="15.75" thickBot="1" x14ac:dyDescent="0.35"/>
    <row r="18" spans="2:6" x14ac:dyDescent="0.3">
      <c r="B18" s="268" t="s">
        <v>113</v>
      </c>
      <c r="C18" s="88" t="s">
        <v>123</v>
      </c>
      <c r="D18" s="88" t="s">
        <v>169</v>
      </c>
      <c r="E18" s="79" t="s">
        <v>174</v>
      </c>
      <c r="F18" s="266" t="s">
        <v>140</v>
      </c>
    </row>
    <row r="19" spans="2:6" x14ac:dyDescent="0.3">
      <c r="B19" s="269"/>
      <c r="C19" s="81" t="s">
        <v>126</v>
      </c>
      <c r="D19" s="81" t="s">
        <v>169</v>
      </c>
      <c r="E19" s="80" t="s">
        <v>174</v>
      </c>
      <c r="F19" s="267"/>
    </row>
    <row r="20" spans="2:6" x14ac:dyDescent="0.3">
      <c r="B20" s="110" t="s">
        <v>114</v>
      </c>
      <c r="C20" s="81" t="s">
        <v>172</v>
      </c>
      <c r="D20" s="81" t="s">
        <v>170</v>
      </c>
      <c r="E20" s="80" t="s">
        <v>175</v>
      </c>
      <c r="F20" s="267"/>
    </row>
    <row r="21" spans="2:6" ht="15.75" thickBot="1" x14ac:dyDescent="0.35">
      <c r="B21" s="111" t="s">
        <v>116</v>
      </c>
      <c r="C21" s="86" t="s">
        <v>173</v>
      </c>
      <c r="D21" s="86" t="s">
        <v>171</v>
      </c>
      <c r="E21" s="82"/>
      <c r="F21" s="267"/>
    </row>
    <row r="22" spans="2:6" x14ac:dyDescent="0.3">
      <c r="B22" s="74" t="s">
        <v>117</v>
      </c>
      <c r="C22" s="117" t="s">
        <v>156</v>
      </c>
      <c r="D22" s="117" t="s">
        <v>157</v>
      </c>
      <c r="E22" s="106" t="s">
        <v>158</v>
      </c>
      <c r="F22" s="267"/>
    </row>
    <row r="23" spans="2:6" x14ac:dyDescent="0.3">
      <c r="B23" s="107" t="s">
        <v>160</v>
      </c>
      <c r="C23" s="83">
        <v>1</v>
      </c>
      <c r="D23" s="81">
        <v>0.19455</v>
      </c>
      <c r="E23" s="85" t="s">
        <v>164</v>
      </c>
      <c r="F23" s="267"/>
    </row>
    <row r="24" spans="2:6" x14ac:dyDescent="0.3">
      <c r="B24" s="108" t="s">
        <v>162</v>
      </c>
      <c r="C24" s="89">
        <v>0.65659999999999996</v>
      </c>
      <c r="D24" s="89">
        <v>1.3056999999999999E-10</v>
      </c>
      <c r="E24" s="105" t="s">
        <v>163</v>
      </c>
      <c r="F24" s="267"/>
    </row>
    <row r="25" spans="2:6" x14ac:dyDescent="0.3">
      <c r="B25" s="108" t="s">
        <v>165</v>
      </c>
      <c r="C25" s="89" t="s">
        <v>166</v>
      </c>
      <c r="D25" s="89" t="s">
        <v>167</v>
      </c>
      <c r="E25" s="105" t="s">
        <v>168</v>
      </c>
      <c r="F25" s="267"/>
    </row>
    <row r="26" spans="2:6" ht="15.75" thickBot="1" x14ac:dyDescent="0.35">
      <c r="B26" s="109" t="s">
        <v>161</v>
      </c>
      <c r="C26" s="84">
        <v>83025</v>
      </c>
      <c r="D26" s="86">
        <v>1.0001</v>
      </c>
      <c r="E26" s="87" t="s">
        <v>159</v>
      </c>
      <c r="F26" s="267"/>
    </row>
    <row r="27" spans="2:6" ht="15.75" thickBot="1" x14ac:dyDescent="0.35">
      <c r="F27" s="267"/>
    </row>
    <row r="28" spans="2:6" x14ac:dyDescent="0.3">
      <c r="B28" s="51" t="s">
        <v>141</v>
      </c>
      <c r="C28" s="112" t="s">
        <v>142</v>
      </c>
      <c r="D28" s="118" t="s">
        <v>154</v>
      </c>
      <c r="E28" s="115" t="s">
        <v>155</v>
      </c>
      <c r="F28" s="267"/>
    </row>
    <row r="29" spans="2:6" x14ac:dyDescent="0.3">
      <c r="B29" s="43" t="s">
        <v>143</v>
      </c>
      <c r="C29" s="113">
        <v>1.2</v>
      </c>
      <c r="D29" s="119" t="s">
        <v>151</v>
      </c>
      <c r="E29" s="113">
        <v>0.27200000000000002</v>
      </c>
      <c r="F29" s="267"/>
    </row>
    <row r="30" spans="2:6" x14ac:dyDescent="0.3">
      <c r="B30" s="43" t="s">
        <v>144</v>
      </c>
      <c r="C30" s="113" t="s">
        <v>147</v>
      </c>
      <c r="D30" s="119" t="s">
        <v>152</v>
      </c>
      <c r="E30" s="113">
        <v>2</v>
      </c>
      <c r="F30" s="267"/>
    </row>
    <row r="31" spans="2:6" x14ac:dyDescent="0.3">
      <c r="B31" s="43" t="s">
        <v>145</v>
      </c>
      <c r="C31" s="113" t="s">
        <v>146</v>
      </c>
      <c r="D31" s="119" t="s">
        <v>143</v>
      </c>
      <c r="E31" s="113">
        <v>1.2</v>
      </c>
      <c r="F31" s="267"/>
    </row>
    <row r="32" spans="2:6" x14ac:dyDescent="0.3">
      <c r="B32" s="43" t="s">
        <v>148</v>
      </c>
      <c r="C32" s="113" t="s">
        <v>149</v>
      </c>
      <c r="D32" s="119" t="s">
        <v>153</v>
      </c>
      <c r="E32" s="116">
        <v>2.1903999999999999E-3</v>
      </c>
      <c r="F32" s="267"/>
    </row>
    <row r="33" spans="2:6" ht="15.75" thickBot="1" x14ac:dyDescent="0.35">
      <c r="B33" s="47" t="s">
        <v>150</v>
      </c>
      <c r="C33" s="114">
        <v>0.9</v>
      </c>
      <c r="D33" s="120"/>
      <c r="E33" s="114"/>
      <c r="F33" s="267"/>
    </row>
    <row r="34" spans="2:6" ht="15.75" thickBot="1" x14ac:dyDescent="0.35"/>
    <row r="35" spans="2:6" x14ac:dyDescent="0.3">
      <c r="B35" s="268" t="s">
        <v>113</v>
      </c>
      <c r="C35" s="88" t="s">
        <v>123</v>
      </c>
      <c r="D35" s="88" t="s">
        <v>122</v>
      </c>
      <c r="E35" s="79" t="s">
        <v>124</v>
      </c>
      <c r="F35" s="266" t="s">
        <v>177</v>
      </c>
    </row>
    <row r="36" spans="2:6" x14ac:dyDescent="0.3">
      <c r="B36" s="269"/>
      <c r="C36" s="81" t="s">
        <v>126</v>
      </c>
      <c r="D36" s="81" t="s">
        <v>125</v>
      </c>
      <c r="E36" s="80" t="s">
        <v>127</v>
      </c>
      <c r="F36" s="267"/>
    </row>
    <row r="37" spans="2:6" x14ac:dyDescent="0.3">
      <c r="B37" s="110" t="s">
        <v>114</v>
      </c>
      <c r="C37" s="81" t="s">
        <v>178</v>
      </c>
      <c r="D37" s="81" t="s">
        <v>179</v>
      </c>
      <c r="E37" s="80" t="s">
        <v>180</v>
      </c>
      <c r="F37" s="267"/>
    </row>
    <row r="38" spans="2:6" ht="26.85" thickBot="1" x14ac:dyDescent="0.35">
      <c r="B38" s="111" t="s">
        <v>116</v>
      </c>
      <c r="C38" s="86" t="s">
        <v>181</v>
      </c>
      <c r="D38" s="86" t="s">
        <v>182</v>
      </c>
      <c r="E38" s="82"/>
      <c r="F38" s="267"/>
    </row>
    <row r="39" spans="2:6" x14ac:dyDescent="0.3">
      <c r="B39" s="74" t="s">
        <v>117</v>
      </c>
      <c r="C39" s="117" t="s">
        <v>156</v>
      </c>
      <c r="D39" s="117" t="s">
        <v>157</v>
      </c>
      <c r="E39" s="106" t="s">
        <v>158</v>
      </c>
      <c r="F39" s="267"/>
    </row>
    <row r="40" spans="2:6" x14ac:dyDescent="0.3">
      <c r="B40" s="107" t="s">
        <v>160</v>
      </c>
      <c r="C40" s="89"/>
      <c r="D40" s="83">
        <v>0.28830699999999998</v>
      </c>
      <c r="E40" s="85"/>
      <c r="F40" s="267"/>
    </row>
    <row r="41" spans="2:6" x14ac:dyDescent="0.3">
      <c r="B41" s="108" t="s">
        <v>162</v>
      </c>
      <c r="D41" s="89"/>
      <c r="E41" s="105"/>
      <c r="F41" s="267"/>
    </row>
    <row r="42" spans="2:6" x14ac:dyDescent="0.3">
      <c r="B42" s="108" t="s">
        <v>165</v>
      </c>
      <c r="C42" s="89"/>
      <c r="D42" s="89"/>
      <c r="E42" s="105"/>
      <c r="F42" s="267"/>
    </row>
    <row r="43" spans="2:6" ht="15.75" thickBot="1" x14ac:dyDescent="0.35">
      <c r="B43" s="109" t="s">
        <v>161</v>
      </c>
      <c r="C43" s="84">
        <v>82729.100000000006</v>
      </c>
      <c r="D43" s="86"/>
      <c r="E43" s="87"/>
      <c r="F43" s="267"/>
    </row>
    <row r="44" spans="2:6" ht="15.75" thickBot="1" x14ac:dyDescent="0.35">
      <c r="F44" s="267"/>
    </row>
    <row r="45" spans="2:6" x14ac:dyDescent="0.3">
      <c r="B45" s="51" t="s">
        <v>141</v>
      </c>
      <c r="C45" s="112" t="s">
        <v>142</v>
      </c>
      <c r="D45" s="118" t="s">
        <v>154</v>
      </c>
      <c r="E45" s="115" t="s">
        <v>155</v>
      </c>
      <c r="F45" s="267"/>
    </row>
    <row r="46" spans="2:6" x14ac:dyDescent="0.3">
      <c r="B46" s="43" t="s">
        <v>143</v>
      </c>
      <c r="C46" s="113">
        <v>1.2</v>
      </c>
      <c r="D46" s="119" t="s">
        <v>151</v>
      </c>
      <c r="E46" s="113">
        <v>0.27200000000000002</v>
      </c>
      <c r="F46" s="267"/>
    </row>
    <row r="47" spans="2:6" x14ac:dyDescent="0.3">
      <c r="B47" s="43" t="s">
        <v>144</v>
      </c>
      <c r="C47" s="113" t="s">
        <v>147</v>
      </c>
      <c r="D47" s="119" t="s">
        <v>152</v>
      </c>
      <c r="E47" s="113">
        <v>2</v>
      </c>
      <c r="F47" s="267"/>
    </row>
    <row r="48" spans="2:6" x14ac:dyDescent="0.3">
      <c r="B48" s="43" t="s">
        <v>145</v>
      </c>
      <c r="C48" s="113" t="s">
        <v>146</v>
      </c>
      <c r="D48" s="119" t="s">
        <v>143</v>
      </c>
      <c r="E48" s="113">
        <v>1.2</v>
      </c>
      <c r="F48" s="267"/>
    </row>
    <row r="49" spans="2:6" x14ac:dyDescent="0.3">
      <c r="B49" s="43" t="s">
        <v>148</v>
      </c>
      <c r="C49" s="113" t="s">
        <v>149</v>
      </c>
      <c r="D49" s="119" t="s">
        <v>153</v>
      </c>
      <c r="E49" s="116">
        <v>2.1903999999999999E-3</v>
      </c>
      <c r="F49" s="267"/>
    </row>
    <row r="50" spans="2:6" ht="15.75" thickBot="1" x14ac:dyDescent="0.35">
      <c r="B50" s="47" t="s">
        <v>150</v>
      </c>
      <c r="C50" s="114">
        <v>0.9</v>
      </c>
      <c r="D50" s="120"/>
      <c r="E50" s="114"/>
      <c r="F50" s="267"/>
    </row>
  </sheetData>
  <mergeCells count="10">
    <mergeCell ref="A2:A3"/>
    <mergeCell ref="F18:F33"/>
    <mergeCell ref="B35:B36"/>
    <mergeCell ref="F35:F50"/>
    <mergeCell ref="B18:B19"/>
    <mergeCell ref="B10:B11"/>
    <mergeCell ref="D15:E15"/>
    <mergeCell ref="D16:E16"/>
    <mergeCell ref="B14:E14"/>
    <mergeCell ref="F10:F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9"/>
  <sheetViews>
    <sheetView topLeftCell="A11" zoomScaleNormal="100" workbookViewId="0">
      <selection activeCell="J16" sqref="J16"/>
    </sheetView>
  </sheetViews>
  <sheetFormatPr defaultColWidth="8.88671875" defaultRowHeight="15.05" x14ac:dyDescent="0.3"/>
  <cols>
    <col min="1" max="1" width="9.5546875" style="152" bestFit="1" customWidth="1"/>
    <col min="2" max="5" width="14.5546875" style="149" customWidth="1"/>
    <col min="6" max="6" width="13.6640625" style="149" bestFit="1" customWidth="1"/>
    <col min="7" max="7" width="19.6640625" style="149" bestFit="1" customWidth="1"/>
    <col min="8" max="8" width="23.44140625" style="149" customWidth="1"/>
    <col min="9" max="9" width="21.5546875" style="211" customWidth="1"/>
    <col min="10" max="10" width="14.44140625" style="211" customWidth="1"/>
    <col min="11" max="16384" width="8.88671875" style="149"/>
  </cols>
  <sheetData>
    <row r="1" spans="1:10" ht="16.399999999999999" thickBot="1" x14ac:dyDescent="0.35">
      <c r="A1" s="203" t="s">
        <v>2</v>
      </c>
      <c r="B1" s="204" t="s">
        <v>12</v>
      </c>
      <c r="C1" s="204" t="s">
        <v>4</v>
      </c>
      <c r="D1" s="204" t="s">
        <v>5</v>
      </c>
      <c r="E1" s="204" t="s">
        <v>6</v>
      </c>
      <c r="F1" s="204" t="s">
        <v>7</v>
      </c>
      <c r="G1" s="204" t="s">
        <v>8</v>
      </c>
      <c r="H1" s="204" t="s">
        <v>9</v>
      </c>
    </row>
    <row r="2" spans="1:10" ht="20" customHeight="1" thickBot="1" x14ac:dyDescent="0.35">
      <c r="A2" s="205">
        <v>0</v>
      </c>
      <c r="B2" s="206">
        <v>16.23</v>
      </c>
      <c r="C2" s="207">
        <f t="shared" ref="C2:C10" si="0">B2*COS(RADIANS(A2))</f>
        <v>16.23</v>
      </c>
      <c r="D2" s="208">
        <f t="shared" ref="D2:D10" si="1">B2*SIN(RADIANS(A2))</f>
        <v>0</v>
      </c>
      <c r="E2" s="209">
        <f>COS(RADIANS(A2))</f>
        <v>1</v>
      </c>
      <c r="F2" s="209">
        <f>SIN(RADIANS(A2))</f>
        <v>0</v>
      </c>
      <c r="G2" s="210">
        <f>-SIN(RADIANS(A2))</f>
        <v>0</v>
      </c>
      <c r="H2" s="210">
        <f>COS(RADIANS(A2))</f>
        <v>1</v>
      </c>
    </row>
    <row r="3" spans="1:10" ht="20" customHeight="1" thickBot="1" x14ac:dyDescent="0.35">
      <c r="A3" s="205">
        <v>2</v>
      </c>
      <c r="B3" s="206">
        <v>16.23</v>
      </c>
      <c r="C3" s="208">
        <f t="shared" si="0"/>
        <v>16.220113122519926</v>
      </c>
      <c r="D3" s="208">
        <f t="shared" si="1"/>
        <v>0.56641883148159078</v>
      </c>
      <c r="E3" s="209">
        <f t="shared" ref="E3:E9" si="2">COS(RADIANS(A3))</f>
        <v>0.99939082701909576</v>
      </c>
      <c r="F3" s="209">
        <f t="shared" ref="F3:F9" si="3">SIN(RADIANS(A3))</f>
        <v>3.4899496702500969E-2</v>
      </c>
      <c r="G3" s="210">
        <f t="shared" ref="G3:G9" si="4">-SIN(RADIANS(A3))</f>
        <v>-3.4899496702500969E-2</v>
      </c>
      <c r="H3" s="210">
        <f t="shared" ref="H3:H9" si="5">COS(RADIANS(A3))</f>
        <v>0.99939082701909576</v>
      </c>
    </row>
    <row r="4" spans="1:10" ht="20" customHeight="1" thickBot="1" x14ac:dyDescent="0.35">
      <c r="A4" s="205">
        <v>4</v>
      </c>
      <c r="B4" s="206">
        <v>16.23</v>
      </c>
      <c r="C4" s="208">
        <f t="shared" si="0"/>
        <v>16.190464535716949</v>
      </c>
      <c r="D4" s="208">
        <f t="shared" si="1"/>
        <v>1.1321475688671536</v>
      </c>
      <c r="E4" s="209">
        <f t="shared" si="2"/>
        <v>0.9975640502598242</v>
      </c>
      <c r="F4" s="209">
        <f t="shared" si="3"/>
        <v>6.9756473744125302E-2</v>
      </c>
      <c r="G4" s="210">
        <f t="shared" si="4"/>
        <v>-6.9756473744125302E-2</v>
      </c>
      <c r="H4" s="210">
        <f t="shared" si="5"/>
        <v>0.9975640502598242</v>
      </c>
    </row>
    <row r="5" spans="1:10" ht="20" customHeight="1" thickBot="1" x14ac:dyDescent="0.35">
      <c r="A5" s="205">
        <v>6</v>
      </c>
      <c r="B5" s="206">
        <v>16.23</v>
      </c>
      <c r="C5" s="208">
        <f t="shared" si="0"/>
        <v>16.141090361827075</v>
      </c>
      <c r="D5" s="208">
        <f t="shared" si="1"/>
        <v>1.696496958834016</v>
      </c>
      <c r="E5" s="209">
        <f t="shared" si="2"/>
        <v>0.99452189536827329</v>
      </c>
      <c r="F5" s="209">
        <f t="shared" si="3"/>
        <v>0.10452846326765347</v>
      </c>
      <c r="G5" s="210">
        <f t="shared" si="4"/>
        <v>-0.10452846326765347</v>
      </c>
      <c r="H5" s="210">
        <f t="shared" si="5"/>
        <v>0.99452189536827329</v>
      </c>
    </row>
    <row r="6" spans="1:10" ht="20" customHeight="1" thickBot="1" x14ac:dyDescent="0.35">
      <c r="A6" s="205">
        <v>8</v>
      </c>
      <c r="B6" s="206">
        <v>16.23</v>
      </c>
      <c r="C6" s="208">
        <f t="shared" si="0"/>
        <v>16.072050755675686</v>
      </c>
      <c r="D6" s="208">
        <f t="shared" si="1"/>
        <v>2.2587794285818621</v>
      </c>
      <c r="E6" s="209">
        <f t="shared" si="2"/>
        <v>0.99026806874157036</v>
      </c>
      <c r="F6" s="209">
        <f t="shared" si="3"/>
        <v>0.13917310096006544</v>
      </c>
      <c r="G6" s="210">
        <f t="shared" si="4"/>
        <v>-0.13917310096006544</v>
      </c>
      <c r="H6" s="210">
        <f t="shared" si="5"/>
        <v>0.99026806874157036</v>
      </c>
    </row>
    <row r="7" spans="1:10" ht="20" customHeight="1" thickBot="1" x14ac:dyDescent="0.35">
      <c r="A7" s="205">
        <v>10</v>
      </c>
      <c r="B7" s="206">
        <v>16.23</v>
      </c>
      <c r="C7" s="208">
        <f t="shared" si="0"/>
        <v>15.983429831388136</v>
      </c>
      <c r="D7" s="208">
        <f t="shared" si="1"/>
        <v>2.8183099235342794</v>
      </c>
      <c r="E7" s="209">
        <f t="shared" si="2"/>
        <v>0.98480775301220802</v>
      </c>
      <c r="F7" s="209">
        <f t="shared" si="3"/>
        <v>0.17364817766693033</v>
      </c>
      <c r="G7" s="210">
        <f t="shared" si="4"/>
        <v>-0.17364817766693033</v>
      </c>
      <c r="H7" s="210">
        <f t="shared" si="5"/>
        <v>0.98480775301220802</v>
      </c>
    </row>
    <row r="8" spans="1:10" ht="20" customHeight="1" thickBot="1" x14ac:dyDescent="0.35">
      <c r="A8" s="205">
        <v>12</v>
      </c>
      <c r="B8" s="206">
        <v>16.23</v>
      </c>
      <c r="C8" s="208">
        <f t="shared" si="0"/>
        <v>15.875335559909667</v>
      </c>
      <c r="D8" s="208">
        <f t="shared" si="1"/>
        <v>3.3744067419722343</v>
      </c>
      <c r="E8" s="209">
        <f t="shared" si="2"/>
        <v>0.97814760073380569</v>
      </c>
      <c r="F8" s="209">
        <f t="shared" si="3"/>
        <v>0.20791169081775934</v>
      </c>
      <c r="G8" s="210">
        <f t="shared" si="4"/>
        <v>-0.20791169081775934</v>
      </c>
      <c r="H8" s="210">
        <f t="shared" si="5"/>
        <v>0.97814760073380569</v>
      </c>
    </row>
    <row r="9" spans="1:10" ht="20" customHeight="1" thickBot="1" x14ac:dyDescent="0.35">
      <c r="A9" s="205">
        <v>14</v>
      </c>
      <c r="B9" s="206">
        <v>16.23</v>
      </c>
      <c r="C9" s="208">
        <f t="shared" si="0"/>
        <v>15.747899637459422</v>
      </c>
      <c r="D9" s="208">
        <f t="shared" si="1"/>
        <v>3.9263923655826072</v>
      </c>
      <c r="E9" s="209">
        <f t="shared" si="2"/>
        <v>0.97029572627599647</v>
      </c>
      <c r="F9" s="209">
        <f t="shared" si="3"/>
        <v>0.24192189559966773</v>
      </c>
      <c r="G9" s="210">
        <f t="shared" si="4"/>
        <v>-0.24192189559966773</v>
      </c>
      <c r="H9" s="210">
        <f t="shared" si="5"/>
        <v>0.97029572627599647</v>
      </c>
    </row>
    <row r="10" spans="1:10" ht="20" customHeight="1" thickBot="1" x14ac:dyDescent="0.35">
      <c r="A10" s="205">
        <v>16</v>
      </c>
      <c r="B10" s="206">
        <v>16.23</v>
      </c>
      <c r="C10" s="208">
        <f t="shared" si="0"/>
        <v>15.601277325078916</v>
      </c>
      <c r="D10" s="208">
        <f t="shared" si="1"/>
        <v>4.4735942849098969</v>
      </c>
      <c r="E10" s="209">
        <f>COS(RADIANS(A10))</f>
        <v>0.96126169593831889</v>
      </c>
      <c r="F10" s="209">
        <f>SIN(RADIANS(A10))</f>
        <v>0.27563735581699916</v>
      </c>
      <c r="G10" s="210">
        <f>-SIN(RADIANS(A10))</f>
        <v>-0.27563735581699916</v>
      </c>
      <c r="H10" s="210">
        <f>COS(RADIANS(A10))</f>
        <v>0.96126169593831889</v>
      </c>
    </row>
    <row r="13" spans="1:10" ht="46.5" customHeight="1" thickBot="1" x14ac:dyDescent="0.35">
      <c r="A13" s="281" t="s">
        <v>192</v>
      </c>
      <c r="B13" s="281"/>
      <c r="C13" s="281"/>
      <c r="D13" s="190" t="s">
        <v>207</v>
      </c>
      <c r="E13" s="191" t="s">
        <v>247</v>
      </c>
      <c r="F13" s="192" t="s">
        <v>248</v>
      </c>
      <c r="G13" s="191" t="s">
        <v>247</v>
      </c>
    </row>
    <row r="14" spans="1:10" ht="21.6" customHeight="1" thickBot="1" x14ac:dyDescent="0.35">
      <c r="A14" s="194" t="s">
        <v>2</v>
      </c>
      <c r="B14" s="195" t="s">
        <v>186</v>
      </c>
      <c r="C14" s="195" t="s">
        <v>187</v>
      </c>
      <c r="D14" s="282" t="s">
        <v>205</v>
      </c>
      <c r="E14" s="282"/>
      <c r="F14" s="282" t="s">
        <v>205</v>
      </c>
      <c r="G14" s="282"/>
      <c r="H14" s="280" t="s">
        <v>244</v>
      </c>
    </row>
    <row r="15" spans="1:10" ht="23.1" customHeight="1" thickBot="1" x14ac:dyDescent="0.35">
      <c r="A15" s="196">
        <v>0</v>
      </c>
      <c r="B15" s="197">
        <v>0</v>
      </c>
      <c r="C15" s="197">
        <v>0</v>
      </c>
      <c r="D15" s="198">
        <v>-3.4791218000000002E-6</v>
      </c>
      <c r="E15" s="199">
        <v>214</v>
      </c>
      <c r="F15" s="200"/>
      <c r="G15" s="197"/>
      <c r="H15" s="280"/>
    </row>
    <row r="16" spans="1:10" ht="23.1" customHeight="1" thickBot="1" x14ac:dyDescent="0.35">
      <c r="A16" s="196">
        <v>2</v>
      </c>
      <c r="B16" s="197">
        <v>0.224</v>
      </c>
      <c r="C16" s="197">
        <v>0.3085</v>
      </c>
      <c r="D16" s="293">
        <v>0.30297371000000001</v>
      </c>
      <c r="E16" s="294">
        <v>317</v>
      </c>
      <c r="F16">
        <v>0.30242699000000001</v>
      </c>
      <c r="G16" s="197"/>
      <c r="H16" s="279" t="s">
        <v>259</v>
      </c>
      <c r="I16" s="211">
        <f>(B16-D16)/B16</f>
        <v>-0.35256120535714286</v>
      </c>
      <c r="J16" s="211">
        <f t="shared" ref="J16:J23" si="6">(C16-D16)/C16</f>
        <v>1.7913419773095591E-2</v>
      </c>
    </row>
    <row r="17" spans="1:10" ht="23.1" customHeight="1" thickBot="1" x14ac:dyDescent="0.35">
      <c r="A17" s="196">
        <v>4</v>
      </c>
      <c r="B17" s="197">
        <v>0.49220000000000003</v>
      </c>
      <c r="C17" s="197">
        <v>0.53569999999999995</v>
      </c>
      <c r="D17" s="293">
        <v>0.51520034000000003</v>
      </c>
      <c r="E17" s="294">
        <v>381</v>
      </c>
      <c r="F17" s="200"/>
      <c r="G17" s="197"/>
      <c r="H17" s="279"/>
      <c r="I17" s="211">
        <f t="shared" ref="I17:I34" si="7">(B17-D17)/B17</f>
        <v>-4.6729662738724108E-2</v>
      </c>
      <c r="J17" s="211">
        <f t="shared" si="6"/>
        <v>3.8267052454731977E-2</v>
      </c>
    </row>
    <row r="18" spans="1:10" ht="23.1" customHeight="1" thickBot="1" x14ac:dyDescent="0.35">
      <c r="A18" s="196">
        <v>6</v>
      </c>
      <c r="B18" s="197">
        <v>0.6956</v>
      </c>
      <c r="C18" s="197">
        <v>0.69710000000000005</v>
      </c>
      <c r="D18" s="295">
        <v>0.65033238000000004</v>
      </c>
      <c r="E18" s="294">
        <v>1101</v>
      </c>
      <c r="F18" s="197"/>
      <c r="G18" s="197"/>
      <c r="I18" s="211">
        <f t="shared" si="7"/>
        <v>6.5077084531339785E-2</v>
      </c>
      <c r="J18" s="211">
        <f t="shared" si="6"/>
        <v>6.7088825132692598E-2</v>
      </c>
    </row>
    <row r="19" spans="1:10" ht="23.1" customHeight="1" thickBot="1" x14ac:dyDescent="0.35">
      <c r="A19" s="196">
        <v>8</v>
      </c>
      <c r="B19" s="197">
        <v>0.85670000000000002</v>
      </c>
      <c r="C19" s="197">
        <v>0.84809999999999997</v>
      </c>
      <c r="D19" s="295">
        <v>0.80789904000000001</v>
      </c>
      <c r="E19" s="294">
        <v>813</v>
      </c>
      <c r="F19" s="197"/>
      <c r="G19" s="197"/>
      <c r="I19" s="211">
        <f t="shared" si="7"/>
        <v>5.6963884673748105E-2</v>
      </c>
      <c r="J19" s="211">
        <f t="shared" si="6"/>
        <v>4.7401202688362169E-2</v>
      </c>
    </row>
    <row r="20" spans="1:10" ht="23.1" customHeight="1" thickBot="1" x14ac:dyDescent="0.35">
      <c r="A20" s="196">
        <v>10</v>
      </c>
      <c r="B20" s="197">
        <v>1.0068999999999999</v>
      </c>
      <c r="C20" s="197">
        <v>1.0066999999999999</v>
      </c>
      <c r="D20" s="295">
        <v>0.94274497000000002</v>
      </c>
      <c r="E20" s="294">
        <v>887</v>
      </c>
      <c r="F20" s="197"/>
      <c r="G20" s="197"/>
      <c r="I20" s="211">
        <f t="shared" si="7"/>
        <v>6.3715393782897894E-2</v>
      </c>
      <c r="J20" s="211">
        <f t="shared" si="6"/>
        <v>6.3529383133008765E-2</v>
      </c>
    </row>
    <row r="21" spans="1:10" ht="23.1" customHeight="1" thickBot="1" x14ac:dyDescent="0.35">
      <c r="A21" s="196">
        <v>12</v>
      </c>
      <c r="B21" s="197">
        <v>1.1072</v>
      </c>
      <c r="C21" s="197">
        <v>1.1068</v>
      </c>
      <c r="D21" s="296"/>
      <c r="E21" s="294"/>
      <c r="F21" s="197"/>
      <c r="G21" s="197"/>
      <c r="I21" s="211">
        <f t="shared" si="7"/>
        <v>1</v>
      </c>
      <c r="J21" s="211">
        <f t="shared" si="6"/>
        <v>1</v>
      </c>
    </row>
    <row r="22" spans="1:10" ht="23.1" customHeight="1" thickBot="1" x14ac:dyDescent="0.35">
      <c r="A22" s="196">
        <v>14</v>
      </c>
      <c r="B22" s="197">
        <v>1.1335999999999999</v>
      </c>
      <c r="C22" s="197">
        <v>0.96319999999999995</v>
      </c>
      <c r="D22" s="296"/>
      <c r="E22" s="294">
        <v>0</v>
      </c>
      <c r="F22" s="197"/>
      <c r="G22" s="197"/>
      <c r="I22" s="211">
        <f t="shared" si="7"/>
        <v>1</v>
      </c>
      <c r="J22" s="211">
        <f t="shared" si="6"/>
        <v>1</v>
      </c>
    </row>
    <row r="23" spans="1:10" ht="23.1" hidden="1" customHeight="1" x14ac:dyDescent="0.3">
      <c r="A23" s="193">
        <v>16</v>
      </c>
      <c r="B23" s="188">
        <v>1.0106999999999999</v>
      </c>
      <c r="C23" s="188"/>
      <c r="D23" s="188"/>
      <c r="E23" s="188"/>
      <c r="F23" s="188"/>
      <c r="G23" s="188"/>
      <c r="I23" s="211">
        <f t="shared" si="7"/>
        <v>1</v>
      </c>
      <c r="J23" s="211" t="e">
        <f t="shared" si="6"/>
        <v>#DIV/0!</v>
      </c>
    </row>
    <row r="25" spans="1:10" ht="15.75" thickBot="1" x14ac:dyDescent="0.35"/>
    <row r="26" spans="1:10" ht="21.6" customHeight="1" thickBot="1" x14ac:dyDescent="0.35">
      <c r="A26" s="201" t="s">
        <v>2</v>
      </c>
      <c r="B26" s="202" t="s">
        <v>188</v>
      </c>
      <c r="C26" s="202" t="s">
        <v>189</v>
      </c>
      <c r="D26" s="283" t="s">
        <v>206</v>
      </c>
      <c r="E26" s="283"/>
      <c r="F26" s="283" t="s">
        <v>206</v>
      </c>
      <c r="G26" s="283"/>
    </row>
    <row r="27" spans="1:10" ht="20.3" customHeight="1" thickBot="1" x14ac:dyDescent="0.35">
      <c r="A27" s="196">
        <v>0</v>
      </c>
      <c r="B27" s="197">
        <v>9.1800000000000007E-3</v>
      </c>
      <c r="C27" s="197">
        <v>1.0200000000000001E-2</v>
      </c>
      <c r="D27" s="200">
        <v>0.01</v>
      </c>
      <c r="E27" s="199">
        <f>E15</f>
        <v>214</v>
      </c>
      <c r="F27" s="200"/>
      <c r="G27" s="197"/>
      <c r="I27" s="211">
        <f t="shared" si="7"/>
        <v>-8.9324618736383393E-2</v>
      </c>
      <c r="J27" s="211">
        <f t="shared" ref="J27:J34" si="8">(C27-D27)/C27</f>
        <v>1.960784313725495E-2</v>
      </c>
    </row>
    <row r="28" spans="1:10" ht="20.3" customHeight="1" thickBot="1" x14ac:dyDescent="0.35">
      <c r="A28" s="196">
        <v>2</v>
      </c>
      <c r="B28" s="197">
        <v>1.0109999999999999E-2</v>
      </c>
      <c r="C28" s="197">
        <v>1.0659999999999999E-2</v>
      </c>
      <c r="D28">
        <v>1.0690108E-2</v>
      </c>
      <c r="E28" s="199">
        <f t="shared" ref="E28:E34" si="9">E16</f>
        <v>317</v>
      </c>
      <c r="F28">
        <v>1.1234762000000001E-2</v>
      </c>
      <c r="G28" s="197"/>
      <c r="I28" s="211">
        <f t="shared" si="7"/>
        <v>-5.7379624134520385E-2</v>
      </c>
      <c r="J28" s="211">
        <f t="shared" si="8"/>
        <v>-2.8243902439025249E-3</v>
      </c>
    </row>
    <row r="29" spans="1:10" ht="20.3" customHeight="1" thickBot="1" x14ac:dyDescent="0.35">
      <c r="A29" s="196">
        <v>4</v>
      </c>
      <c r="B29" s="197">
        <v>1.223E-2</v>
      </c>
      <c r="C29" s="197">
        <v>1.176E-2</v>
      </c>
      <c r="D29" s="293">
        <v>1.2007455E-2</v>
      </c>
      <c r="E29" s="294">
        <f t="shared" si="9"/>
        <v>381</v>
      </c>
      <c r="F29" s="200">
        <v>33</v>
      </c>
      <c r="G29" s="197"/>
      <c r="I29" s="211">
        <f t="shared" si="7"/>
        <v>1.8196647587898556E-2</v>
      </c>
      <c r="J29" s="211">
        <f t="shared" si="8"/>
        <v>-2.1042091836734746E-2</v>
      </c>
    </row>
    <row r="30" spans="1:10" ht="20.3" customHeight="1" thickBot="1" x14ac:dyDescent="0.35">
      <c r="A30" s="196">
        <v>6</v>
      </c>
      <c r="B30" s="197">
        <v>1.5219999999999999E-2</v>
      </c>
      <c r="C30" s="197">
        <v>1.516E-2</v>
      </c>
      <c r="D30" s="295">
        <v>1.5569951E-2</v>
      </c>
      <c r="E30" s="294">
        <f t="shared" si="9"/>
        <v>1101</v>
      </c>
      <c r="F30" s="197"/>
      <c r="G30" s="197"/>
      <c r="I30" s="211">
        <f t="shared" si="7"/>
        <v>-2.2992838370565122E-2</v>
      </c>
      <c r="J30" s="211">
        <f t="shared" si="8"/>
        <v>-2.7041622691292903E-2</v>
      </c>
    </row>
    <row r="31" spans="1:10" ht="20.3" customHeight="1" thickBot="1" x14ac:dyDescent="0.35">
      <c r="A31" s="196">
        <v>8</v>
      </c>
      <c r="B31" s="197">
        <v>1.9130000000000001E-2</v>
      </c>
      <c r="C31" s="197">
        <v>2.112E-2</v>
      </c>
      <c r="D31" s="295">
        <v>2.14501E-2</v>
      </c>
      <c r="E31" s="294">
        <f>E19</f>
        <v>813</v>
      </c>
      <c r="F31" s="197"/>
      <c r="G31" s="197"/>
      <c r="I31" s="211">
        <f t="shared" si="7"/>
        <v>-0.12128071092524821</v>
      </c>
      <c r="J31" s="211">
        <f t="shared" si="8"/>
        <v>-1.5629734848484841E-2</v>
      </c>
    </row>
    <row r="32" spans="1:10" ht="20.3" customHeight="1" thickBot="1" x14ac:dyDescent="0.35">
      <c r="A32" s="196">
        <v>10</v>
      </c>
      <c r="B32" s="197">
        <v>2.4809999999999999E-2</v>
      </c>
      <c r="C32" s="197">
        <v>2.9659999999999999E-2</v>
      </c>
      <c r="D32" s="295">
        <v>2.9563078999999999E-2</v>
      </c>
      <c r="E32" s="294">
        <f t="shared" si="9"/>
        <v>887</v>
      </c>
      <c r="F32" s="197"/>
      <c r="G32" s="197"/>
      <c r="I32" s="211">
        <f t="shared" si="7"/>
        <v>-0.19157916162837568</v>
      </c>
      <c r="J32" s="211">
        <f t="shared" si="8"/>
        <v>3.2677343223196163E-3</v>
      </c>
    </row>
    <row r="33" spans="1:16" ht="20.3" customHeight="1" thickBot="1" x14ac:dyDescent="0.35">
      <c r="A33" s="196">
        <v>12</v>
      </c>
      <c r="B33" s="197">
        <v>3.329E-2</v>
      </c>
      <c r="C33" s="197">
        <v>4.3659999999999997E-2</v>
      </c>
      <c r="D33" s="296"/>
      <c r="E33" s="294">
        <f t="shared" si="9"/>
        <v>0</v>
      </c>
      <c r="F33" s="197"/>
      <c r="G33" s="197"/>
      <c r="I33" s="211">
        <f t="shared" si="7"/>
        <v>1</v>
      </c>
      <c r="J33" s="211">
        <f t="shared" si="8"/>
        <v>1</v>
      </c>
    </row>
    <row r="34" spans="1:16" ht="20.3" customHeight="1" thickBot="1" x14ac:dyDescent="0.35">
      <c r="A34" s="196">
        <v>14</v>
      </c>
      <c r="B34" s="197">
        <v>4.9950000000000001E-2</v>
      </c>
      <c r="C34" s="197">
        <v>7.9759999999999998E-2</v>
      </c>
      <c r="D34" s="197"/>
      <c r="E34" s="199">
        <f t="shared" si="9"/>
        <v>0</v>
      </c>
      <c r="F34" s="197"/>
      <c r="G34" s="197"/>
      <c r="I34" s="211">
        <f t="shared" si="7"/>
        <v>1</v>
      </c>
      <c r="J34" s="211">
        <f t="shared" si="8"/>
        <v>1</v>
      </c>
    </row>
    <row r="35" spans="1:16" hidden="1" x14ac:dyDescent="0.3">
      <c r="A35" s="193">
        <v>16</v>
      </c>
      <c r="B35" s="188">
        <v>9.9290000000000003E-2</v>
      </c>
      <c r="C35" s="188"/>
      <c r="D35" s="187"/>
      <c r="E35" s="188"/>
      <c r="F35" s="188"/>
    </row>
    <row r="37" spans="1:16" ht="56.95" customHeight="1" x14ac:dyDescent="0.3">
      <c r="F37" s="149" t="s">
        <v>253</v>
      </c>
      <c r="G37" s="189" t="s">
        <v>250</v>
      </c>
      <c r="H37" s="189" t="s">
        <v>249</v>
      </c>
      <c r="I37" s="212" t="s">
        <v>251</v>
      </c>
      <c r="J37" s="212" t="s">
        <v>252</v>
      </c>
      <c r="K37" s="278" t="s">
        <v>258</v>
      </c>
      <c r="L37" s="278"/>
      <c r="M37" s="278"/>
      <c r="N37" s="278"/>
      <c r="O37" s="278"/>
      <c r="P37" s="278"/>
    </row>
    <row r="38" spans="1:16" ht="19.649999999999999" hidden="1" customHeight="1" x14ac:dyDescent="0.3">
      <c r="A38" s="150" t="s">
        <v>2</v>
      </c>
      <c r="B38" s="145" t="s">
        <v>190</v>
      </c>
      <c r="C38" s="145" t="s">
        <v>191</v>
      </c>
      <c r="D38" s="145"/>
      <c r="E38" s="145"/>
    </row>
    <row r="39" spans="1:16" ht="21.45" hidden="1" customHeight="1" x14ac:dyDescent="0.3">
      <c r="A39" s="151">
        <v>0</v>
      </c>
      <c r="B39" s="148">
        <f>0*(-1)</f>
        <v>0</v>
      </c>
      <c r="C39" s="148">
        <v>0</v>
      </c>
      <c r="D39" s="148"/>
      <c r="E39" s="148"/>
    </row>
    <row r="40" spans="1:16" ht="21.45" hidden="1" customHeight="1" x14ac:dyDescent="0.3">
      <c r="A40" s="151">
        <v>2</v>
      </c>
      <c r="B40" s="148">
        <v>3.3E-3</v>
      </c>
      <c r="C40" s="148">
        <v>-1.2200000000000001E-2</v>
      </c>
      <c r="D40" s="148"/>
      <c r="E40" s="148"/>
    </row>
    <row r="41" spans="1:16" ht="21.45" hidden="1" customHeight="1" x14ac:dyDescent="0.3">
      <c r="A41" s="151">
        <v>4</v>
      </c>
      <c r="B41" s="148">
        <v>-6.1999999999999998E-3</v>
      </c>
      <c r="C41" s="148">
        <v>-1.4500000000000001E-2</v>
      </c>
      <c r="D41" s="148"/>
      <c r="E41" s="148"/>
    </row>
    <row r="42" spans="1:16" ht="21.45" hidden="1" customHeight="1" x14ac:dyDescent="0.3">
      <c r="A42" s="151">
        <v>6</v>
      </c>
      <c r="B42" s="148">
        <v>-4.7000000000000002E-3</v>
      </c>
      <c r="C42" s="148">
        <v>-4.3E-3</v>
      </c>
      <c r="D42" s="148"/>
      <c r="E42" s="148"/>
    </row>
    <row r="43" spans="1:16" ht="21.45" hidden="1" customHeight="1" x14ac:dyDescent="0.3">
      <c r="A43" s="151">
        <v>8</v>
      </c>
      <c r="B43" s="148">
        <v>5.5999999999999999E-3</v>
      </c>
      <c r="C43" s="148">
        <v>7.7000000000000002E-3</v>
      </c>
      <c r="D43" s="148"/>
      <c r="E43" s="148"/>
      <c r="F43" s="163"/>
      <c r="G43" s="163" t="s">
        <v>193</v>
      </c>
      <c r="H43" s="163"/>
      <c r="I43" s="211" t="s">
        <v>195</v>
      </c>
      <c r="J43" s="211">
        <v>200000</v>
      </c>
    </row>
    <row r="44" spans="1:16" ht="21.45" hidden="1" customHeight="1" x14ac:dyDescent="0.3">
      <c r="A44" s="151">
        <v>10</v>
      </c>
      <c r="B44" s="148">
        <v>1.5699999999999999E-2</v>
      </c>
      <c r="C44" s="148">
        <v>1.6799999999999999E-2</v>
      </c>
      <c r="D44" s="133"/>
      <c r="E44" s="133"/>
      <c r="F44" s="163" t="s">
        <v>194</v>
      </c>
      <c r="G44" s="163">
        <f>(J43*J44)/(J45*J46)</f>
        <v>12.983582766439907</v>
      </c>
      <c r="H44" s="163" t="s">
        <v>199</v>
      </c>
      <c r="I44" s="211" t="s">
        <v>196</v>
      </c>
      <c r="J44" s="211">
        <v>1.7893E-5</v>
      </c>
      <c r="K44" s="149" t="s">
        <v>201</v>
      </c>
    </row>
    <row r="45" spans="1:16" ht="21.45" hidden="1" customHeight="1" x14ac:dyDescent="0.3">
      <c r="A45" s="151">
        <v>12</v>
      </c>
      <c r="B45" s="148">
        <v>2.87E-2</v>
      </c>
      <c r="C45" s="148">
        <v>2.86E-2</v>
      </c>
      <c r="D45" s="148"/>
      <c r="E45" s="148"/>
      <c r="I45" s="211" t="s">
        <v>197</v>
      </c>
      <c r="J45" s="211">
        <v>1.2250000000000001</v>
      </c>
      <c r="K45" s="149" t="s">
        <v>202</v>
      </c>
    </row>
    <row r="46" spans="1:16" hidden="1" x14ac:dyDescent="0.3">
      <c r="A46" s="151">
        <v>14</v>
      </c>
      <c r="B46" s="148">
        <v>3.39E-2</v>
      </c>
      <c r="C46" s="148">
        <v>2.75E-2</v>
      </c>
      <c r="D46" s="148"/>
      <c r="E46" s="148"/>
      <c r="I46" s="211" t="s">
        <v>198</v>
      </c>
      <c r="J46" s="211">
        <v>0.22500000000000001</v>
      </c>
      <c r="K46" s="149" t="s">
        <v>200</v>
      </c>
    </row>
    <row r="47" spans="1:16" ht="20.95" hidden="1" customHeight="1" x14ac:dyDescent="0.3">
      <c r="A47" s="151">
        <v>16</v>
      </c>
      <c r="B47" s="148">
        <v>7.3000000000000001E-3</v>
      </c>
      <c r="C47" s="148"/>
      <c r="D47" s="148"/>
      <c r="E47" s="148"/>
    </row>
    <row r="49" spans="6:16" ht="60.25" x14ac:dyDescent="0.3">
      <c r="F49" s="149" t="s">
        <v>254</v>
      </c>
      <c r="G49" s="189" t="s">
        <v>257</v>
      </c>
      <c r="H49" s="189" t="s">
        <v>255</v>
      </c>
      <c r="I49" s="212" t="s">
        <v>256</v>
      </c>
      <c r="K49" s="278" t="s">
        <v>260</v>
      </c>
      <c r="L49" s="278"/>
      <c r="M49" s="278"/>
      <c r="N49" s="278"/>
      <c r="O49" s="278"/>
      <c r="P49" s="278"/>
    </row>
  </sheetData>
  <mergeCells count="9">
    <mergeCell ref="K49:P49"/>
    <mergeCell ref="H16:H17"/>
    <mergeCell ref="H14:H15"/>
    <mergeCell ref="A13:C13"/>
    <mergeCell ref="D14:E14"/>
    <mergeCell ref="F14:G14"/>
    <mergeCell ref="D26:E26"/>
    <mergeCell ref="F26:G26"/>
    <mergeCell ref="K37:P3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6604-1162-4804-B995-9D866A2EC0F0}">
  <dimension ref="B1:G23"/>
  <sheetViews>
    <sheetView tabSelected="1" zoomScale="130" zoomScaleNormal="130" workbookViewId="0">
      <selection activeCell="D10" sqref="D10"/>
    </sheetView>
  </sheetViews>
  <sheetFormatPr defaultRowHeight="15.05" x14ac:dyDescent="0.3"/>
  <cols>
    <col min="2" max="6" width="15.21875" customWidth="1"/>
    <col min="7" max="7" width="11.44140625" bestFit="1" customWidth="1"/>
  </cols>
  <sheetData>
    <row r="1" spans="2:7" x14ac:dyDescent="0.3">
      <c r="B1" s="297"/>
      <c r="C1" s="297"/>
      <c r="D1" s="297"/>
      <c r="E1" s="297"/>
      <c r="F1" s="297"/>
    </row>
    <row r="2" spans="2:7" ht="15.75" x14ac:dyDescent="0.3">
      <c r="B2" s="298"/>
      <c r="C2" s="298"/>
      <c r="D2" s="298"/>
      <c r="E2" s="299"/>
      <c r="F2" s="300"/>
    </row>
    <row r="3" spans="2:7" ht="22.95" customHeight="1" x14ac:dyDescent="0.3">
      <c r="B3" s="306" t="s">
        <v>2</v>
      </c>
      <c r="C3" s="307" t="s">
        <v>187</v>
      </c>
      <c r="D3" s="307" t="s">
        <v>205</v>
      </c>
      <c r="E3" s="308" t="s">
        <v>247</v>
      </c>
      <c r="F3" s="311" t="s">
        <v>272</v>
      </c>
    </row>
    <row r="4" spans="2:7" x14ac:dyDescent="0.3">
      <c r="B4" s="309">
        <v>0</v>
      </c>
      <c r="C4" s="188">
        <v>0</v>
      </c>
      <c r="D4" s="310">
        <v>-3.4791218000000002E-6</v>
      </c>
      <c r="E4" s="147">
        <v>214</v>
      </c>
      <c r="F4" s="313" t="s">
        <v>91</v>
      </c>
      <c r="G4" s="305"/>
    </row>
    <row r="5" spans="2:7" x14ac:dyDescent="0.3">
      <c r="B5" s="304">
        <v>2</v>
      </c>
      <c r="C5" s="148">
        <v>0.3085</v>
      </c>
      <c r="D5" s="301">
        <v>0.30297371000000001</v>
      </c>
      <c r="E5" s="302">
        <v>317</v>
      </c>
      <c r="F5" s="312">
        <f>(C5-D5)/C5</f>
        <v>1.7913419773095591E-2</v>
      </c>
      <c r="G5" s="305"/>
    </row>
    <row r="6" spans="2:7" x14ac:dyDescent="0.3">
      <c r="B6" s="304">
        <v>4</v>
      </c>
      <c r="C6" s="148">
        <v>0.53569999999999995</v>
      </c>
      <c r="D6" s="301">
        <v>0.51520034000000003</v>
      </c>
      <c r="E6" s="302">
        <v>381</v>
      </c>
      <c r="F6" s="312">
        <f t="shared" ref="F6:F11" si="0">(C6-D6)/C6</f>
        <v>3.8267052454731977E-2</v>
      </c>
      <c r="G6" s="305"/>
    </row>
    <row r="7" spans="2:7" x14ac:dyDescent="0.3">
      <c r="B7" s="304">
        <v>6</v>
      </c>
      <c r="C7" s="148">
        <v>0.69710000000000005</v>
      </c>
      <c r="D7" s="301">
        <v>0.66833237999999995</v>
      </c>
      <c r="E7" s="302">
        <v>1101</v>
      </c>
      <c r="F7" s="312">
        <f t="shared" si="0"/>
        <v>4.1267565629034719E-2</v>
      </c>
      <c r="G7" s="305"/>
    </row>
    <row r="8" spans="2:7" x14ac:dyDescent="0.3">
      <c r="B8" s="304">
        <v>8</v>
      </c>
      <c r="C8" s="148">
        <v>0.84809999999999997</v>
      </c>
      <c r="D8" s="301">
        <v>0.80789904000000001</v>
      </c>
      <c r="E8" s="302">
        <v>813</v>
      </c>
      <c r="F8" s="312">
        <f t="shared" si="0"/>
        <v>4.7401202688362169E-2</v>
      </c>
      <c r="G8" s="305"/>
    </row>
    <row r="9" spans="2:7" x14ac:dyDescent="0.3">
      <c r="B9" s="304">
        <v>10</v>
      </c>
      <c r="C9" s="148">
        <v>1.0066999999999999</v>
      </c>
      <c r="D9" s="301">
        <v>0.94274497000000002</v>
      </c>
      <c r="E9" s="302">
        <v>887</v>
      </c>
      <c r="F9" s="312">
        <f t="shared" si="0"/>
        <v>6.3529383133008765E-2</v>
      </c>
    </row>
    <row r="10" spans="2:7" x14ac:dyDescent="0.3">
      <c r="B10" s="304">
        <v>12</v>
      </c>
      <c r="C10" s="148">
        <v>1.1068</v>
      </c>
      <c r="D10" s="148">
        <v>1.1100000000000001</v>
      </c>
      <c r="E10" s="302">
        <v>1833</v>
      </c>
      <c r="F10" s="312">
        <f t="shared" si="0"/>
        <v>-2.8912179255512213E-3</v>
      </c>
    </row>
    <row r="11" spans="2:7" x14ac:dyDescent="0.3">
      <c r="B11" s="304">
        <v>14</v>
      </c>
      <c r="C11" s="148">
        <v>0.96319999999999995</v>
      </c>
      <c r="D11" s="303"/>
      <c r="E11" s="302">
        <v>0</v>
      </c>
      <c r="F11" s="312">
        <f t="shared" si="0"/>
        <v>1</v>
      </c>
    </row>
    <row r="12" spans="2:7" x14ac:dyDescent="0.3">
      <c r="B12" s="152"/>
      <c r="C12" s="149"/>
      <c r="D12" s="149"/>
      <c r="E12" s="149"/>
      <c r="F12" s="211">
        <f>AVERAGE(F5:F10)</f>
        <v>3.4247900958780338E-2</v>
      </c>
    </row>
    <row r="13" spans="2:7" x14ac:dyDescent="0.3">
      <c r="B13" s="152"/>
      <c r="C13" s="149"/>
      <c r="D13" s="149"/>
      <c r="E13" s="149"/>
      <c r="F13" s="149"/>
    </row>
    <row r="14" spans="2:7" ht="20.3" customHeight="1" x14ac:dyDescent="0.3">
      <c r="B14" s="306" t="s">
        <v>2</v>
      </c>
      <c r="C14" s="307" t="s">
        <v>189</v>
      </c>
      <c r="D14" s="307" t="s">
        <v>206</v>
      </c>
      <c r="E14" s="308" t="s">
        <v>247</v>
      </c>
      <c r="F14" s="311" t="s">
        <v>272</v>
      </c>
    </row>
    <row r="15" spans="2:7" x14ac:dyDescent="0.3">
      <c r="B15" s="304">
        <v>0</v>
      </c>
      <c r="C15" s="148">
        <v>1.0200000000000001E-2</v>
      </c>
      <c r="D15" s="28">
        <v>0.01</v>
      </c>
      <c r="E15" s="147">
        <f>E4</f>
        <v>214</v>
      </c>
      <c r="F15" s="312">
        <f t="shared" ref="F15:F22" si="1">(C15-D15)/C15</f>
        <v>1.960784313725495E-2</v>
      </c>
    </row>
    <row r="16" spans="2:7" x14ac:dyDescent="0.3">
      <c r="B16" s="304">
        <v>2</v>
      </c>
      <c r="C16" s="148">
        <v>1.0659999999999999E-2</v>
      </c>
      <c r="D16" s="28">
        <v>1.0690108E-2</v>
      </c>
      <c r="E16" s="147">
        <f>E5</f>
        <v>317</v>
      </c>
      <c r="F16" s="312">
        <f t="shared" si="1"/>
        <v>-2.8243902439025249E-3</v>
      </c>
    </row>
    <row r="17" spans="2:6" x14ac:dyDescent="0.3">
      <c r="B17" s="304">
        <v>4</v>
      </c>
      <c r="C17" s="148">
        <v>1.176E-2</v>
      </c>
      <c r="D17" s="301">
        <v>1.2007455E-2</v>
      </c>
      <c r="E17" s="302">
        <f>E6</f>
        <v>381</v>
      </c>
      <c r="F17" s="312">
        <f t="shared" si="1"/>
        <v>-2.1042091836734746E-2</v>
      </c>
    </row>
    <row r="18" spans="2:6" x14ac:dyDescent="0.3">
      <c r="B18" s="304">
        <v>6</v>
      </c>
      <c r="C18" s="148">
        <v>1.516E-2</v>
      </c>
      <c r="D18" s="301">
        <v>1.5569951E-2</v>
      </c>
      <c r="E18" s="302">
        <f>E7</f>
        <v>1101</v>
      </c>
      <c r="F18" s="312">
        <f t="shared" si="1"/>
        <v>-2.7041622691292903E-2</v>
      </c>
    </row>
    <row r="19" spans="2:6" x14ac:dyDescent="0.3">
      <c r="B19" s="304">
        <v>8</v>
      </c>
      <c r="C19" s="148">
        <v>2.112E-2</v>
      </c>
      <c r="D19" s="301">
        <v>2.14501E-2</v>
      </c>
      <c r="E19" s="302">
        <f>E8</f>
        <v>813</v>
      </c>
      <c r="F19" s="312">
        <f t="shared" si="1"/>
        <v>-1.5629734848484841E-2</v>
      </c>
    </row>
    <row r="20" spans="2:6" x14ac:dyDescent="0.3">
      <c r="B20" s="304">
        <v>10</v>
      </c>
      <c r="C20" s="148">
        <v>2.9659999999999999E-2</v>
      </c>
      <c r="D20" s="301">
        <v>2.9563078999999999E-2</v>
      </c>
      <c r="E20" s="302">
        <f>E9</f>
        <v>887</v>
      </c>
      <c r="F20" s="312">
        <f t="shared" si="1"/>
        <v>3.2677343223196163E-3</v>
      </c>
    </row>
    <row r="21" spans="2:6" x14ac:dyDescent="0.3">
      <c r="B21" s="304">
        <v>12</v>
      </c>
      <c r="C21" s="148">
        <v>4.3659999999999997E-2</v>
      </c>
      <c r="D21" s="148">
        <v>0.04</v>
      </c>
      <c r="E21" s="302">
        <f>E10</f>
        <v>1833</v>
      </c>
      <c r="F21" s="312">
        <f t="shared" si="1"/>
        <v>8.3829592304168504E-2</v>
      </c>
    </row>
    <row r="22" spans="2:6" x14ac:dyDescent="0.3">
      <c r="B22" s="304">
        <v>14</v>
      </c>
      <c r="C22" s="148">
        <v>7.9759999999999998E-2</v>
      </c>
      <c r="D22" s="148"/>
      <c r="E22" s="147">
        <f>E11</f>
        <v>0</v>
      </c>
      <c r="F22" s="312">
        <f t="shared" si="1"/>
        <v>1</v>
      </c>
    </row>
    <row r="23" spans="2:6" x14ac:dyDescent="0.3">
      <c r="F23" s="314">
        <f>AVERAGE(F15:F21)</f>
        <v>5.7381900204754362E-3</v>
      </c>
    </row>
  </sheetData>
  <mergeCells count="1">
    <mergeCell ref="B2:D2"/>
  </mergeCells>
  <conditionalFormatting sqref="F4:F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:F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zoomScale="115" zoomScaleNormal="115" workbookViewId="0">
      <selection activeCell="D14" sqref="D14"/>
    </sheetView>
  </sheetViews>
  <sheetFormatPr defaultRowHeight="15.05" x14ac:dyDescent="0.3"/>
  <cols>
    <col min="1" max="1" width="30.44140625" customWidth="1"/>
    <col min="2" max="2" width="10.5546875" style="182" customWidth="1"/>
    <col min="3" max="3" width="13.44140625" style="38" customWidth="1"/>
    <col min="4" max="4" width="33.88671875" customWidth="1"/>
    <col min="5" max="5" width="23.33203125" bestFit="1" customWidth="1"/>
    <col min="6" max="11" width="11.88671875" bestFit="1" customWidth="1"/>
  </cols>
  <sheetData>
    <row r="1" spans="1:12" s="183" customFormat="1" ht="20.3" customHeight="1" x14ac:dyDescent="0.3">
      <c r="A1" s="184" t="s">
        <v>221</v>
      </c>
      <c r="B1" s="184" t="s">
        <v>222</v>
      </c>
      <c r="C1" s="184" t="s">
        <v>220</v>
      </c>
      <c r="D1" s="184" t="s">
        <v>219</v>
      </c>
    </row>
    <row r="2" spans="1:12" ht="15.75" thickBot="1" x14ac:dyDescent="0.35">
      <c r="A2" s="37" t="s">
        <v>228</v>
      </c>
      <c r="B2" s="185" t="s">
        <v>245</v>
      </c>
      <c r="C2" s="37" t="s">
        <v>211</v>
      </c>
      <c r="D2" s="37">
        <v>1.2250000000000001</v>
      </c>
    </row>
    <row r="3" spans="1:12" ht="15.75" x14ac:dyDescent="0.3">
      <c r="A3" s="37" t="s">
        <v>237</v>
      </c>
      <c r="B3" s="185" t="s">
        <v>246</v>
      </c>
      <c r="C3" s="37"/>
      <c r="D3" s="37">
        <f>D4/D2</f>
        <v>1.4606530612244896E-5</v>
      </c>
      <c r="E3" s="215" t="s">
        <v>210</v>
      </c>
      <c r="F3" s="288">
        <f>225/1000</f>
        <v>0.22500000000000001</v>
      </c>
      <c r="G3" s="288"/>
      <c r="H3" s="288"/>
      <c r="I3" s="288"/>
      <c r="J3" s="288"/>
      <c r="K3" s="289"/>
    </row>
    <row r="4" spans="1:12" ht="15.75" x14ac:dyDescent="0.3">
      <c r="A4" s="37" t="s">
        <v>227</v>
      </c>
      <c r="B4" s="186" t="s">
        <v>223</v>
      </c>
      <c r="C4" s="37"/>
      <c r="D4" s="37">
        <v>1.7893E-5</v>
      </c>
      <c r="E4" s="216" t="s">
        <v>265</v>
      </c>
      <c r="F4" s="290" t="s">
        <v>268</v>
      </c>
      <c r="G4" s="290"/>
      <c r="H4" s="290"/>
      <c r="I4" s="290"/>
      <c r="J4" s="290"/>
      <c r="K4" s="291"/>
    </row>
    <row r="5" spans="1:12" ht="15.75" x14ac:dyDescent="0.3">
      <c r="A5" s="37" t="s">
        <v>210</v>
      </c>
      <c r="B5" s="186" t="s">
        <v>224</v>
      </c>
      <c r="C5" s="37" t="s">
        <v>199</v>
      </c>
      <c r="D5" s="37">
        <v>0.18</v>
      </c>
      <c r="E5" s="217" t="s">
        <v>266</v>
      </c>
      <c r="F5" s="284">
        <v>0.73640000000000005</v>
      </c>
      <c r="G5" s="284"/>
      <c r="H5" s="284"/>
      <c r="I5" s="284"/>
      <c r="J5" s="284"/>
      <c r="K5" s="285"/>
    </row>
    <row r="6" spans="1:12" ht="15.75" x14ac:dyDescent="0.3">
      <c r="A6" s="37" t="s">
        <v>226</v>
      </c>
      <c r="B6" s="186" t="s">
        <v>225</v>
      </c>
      <c r="C6" s="37" t="s">
        <v>199</v>
      </c>
      <c r="D6" s="37">
        <v>16.23</v>
      </c>
      <c r="E6" s="217" t="s">
        <v>267</v>
      </c>
      <c r="F6" s="286">
        <v>1.628E-5</v>
      </c>
      <c r="G6" s="286"/>
      <c r="H6" s="286"/>
      <c r="I6" s="286"/>
      <c r="J6" s="286"/>
      <c r="K6" s="287"/>
    </row>
    <row r="7" spans="1:12" ht="15.75" x14ac:dyDescent="0.3">
      <c r="A7" s="37" t="s">
        <v>217</v>
      </c>
      <c r="B7" s="185" t="s">
        <v>229</v>
      </c>
      <c r="C7" s="37" t="s">
        <v>218</v>
      </c>
      <c r="D7" s="37">
        <v>0.09</v>
      </c>
      <c r="E7" s="217" t="s">
        <v>264</v>
      </c>
      <c r="F7" s="218">
        <v>20</v>
      </c>
      <c r="G7" s="218">
        <v>21</v>
      </c>
      <c r="H7" s="218">
        <v>22</v>
      </c>
      <c r="I7" s="218">
        <v>23</v>
      </c>
      <c r="J7" s="218">
        <v>24</v>
      </c>
      <c r="K7" s="219">
        <v>25</v>
      </c>
    </row>
    <row r="8" spans="1:12" ht="16.399999999999999" thickBot="1" x14ac:dyDescent="0.35">
      <c r="A8" s="37" t="s">
        <v>235</v>
      </c>
      <c r="B8" s="185" t="s">
        <v>230</v>
      </c>
      <c r="C8" s="37" t="s">
        <v>209</v>
      </c>
      <c r="D8" s="37">
        <f>C22</f>
        <v>0.37133036261088381</v>
      </c>
      <c r="E8" s="220" t="s">
        <v>269</v>
      </c>
      <c r="F8" s="221">
        <f>F3*F7*F5/F6</f>
        <v>203550.36855036856</v>
      </c>
      <c r="G8" s="221">
        <f>F3*G7*F5/F6</f>
        <v>213727.88697788701</v>
      </c>
      <c r="H8" s="221">
        <f>F3*H7*F5/F6</f>
        <v>223905.40540540541</v>
      </c>
      <c r="I8" s="221">
        <f>F3*I7*F5/F6</f>
        <v>234082.92383292384</v>
      </c>
      <c r="J8" s="221">
        <f>F3*J7*F5/F6</f>
        <v>244260.4422604423</v>
      </c>
      <c r="K8" s="222">
        <f>F3*K7*F5/F6</f>
        <v>254437.96068796073</v>
      </c>
      <c r="L8" s="214"/>
    </row>
    <row r="9" spans="1:12" ht="15.75" x14ac:dyDescent="0.3">
      <c r="A9" s="37" t="s">
        <v>236</v>
      </c>
      <c r="B9" s="185" t="s">
        <v>231</v>
      </c>
      <c r="C9" s="37" t="s">
        <v>200</v>
      </c>
      <c r="D9" s="37">
        <v>8.8520000000000005E-4</v>
      </c>
      <c r="E9" s="223"/>
      <c r="F9" s="224"/>
      <c r="G9" s="225"/>
      <c r="H9" s="225"/>
      <c r="I9" s="225"/>
      <c r="J9" s="225"/>
      <c r="K9" s="225"/>
    </row>
    <row r="10" spans="1:12" ht="15.75" x14ac:dyDescent="0.3">
      <c r="A10" s="37" t="s">
        <v>237</v>
      </c>
      <c r="B10" s="185" t="s">
        <v>232</v>
      </c>
      <c r="C10" s="37" t="s">
        <v>212</v>
      </c>
      <c r="D10" s="37">
        <f>D4/D2</f>
        <v>1.4606530612244896E-5</v>
      </c>
      <c r="E10" s="223"/>
      <c r="F10" s="224"/>
      <c r="G10" s="225"/>
      <c r="H10" s="225"/>
      <c r="I10" s="225"/>
      <c r="J10" s="225"/>
      <c r="K10" s="225"/>
    </row>
    <row r="11" spans="1:12" ht="15.75" x14ac:dyDescent="0.3">
      <c r="A11" s="37" t="s">
        <v>234</v>
      </c>
      <c r="B11" s="185" t="s">
        <v>233</v>
      </c>
      <c r="C11" s="37" t="s">
        <v>213</v>
      </c>
      <c r="D11" s="37">
        <f>(3/2)*(D8/100*D6)^2</f>
        <v>5.4481520810237315E-3</v>
      </c>
      <c r="E11" s="225"/>
      <c r="F11" s="225"/>
      <c r="G11" s="225"/>
      <c r="H11" s="225"/>
      <c r="I11" s="225"/>
      <c r="J11" s="225"/>
      <c r="K11" s="225"/>
    </row>
    <row r="12" spans="1:12" ht="16.399999999999999" thickBot="1" x14ac:dyDescent="0.35">
      <c r="A12" s="37" t="s">
        <v>238</v>
      </c>
      <c r="B12" s="185" t="s">
        <v>239</v>
      </c>
      <c r="C12" s="37" t="s">
        <v>215</v>
      </c>
      <c r="D12" s="37">
        <f>(D7^(3/4))*(D11^(3/2))/D9</f>
        <v>7.4647335418580291E-2</v>
      </c>
      <c r="E12" s="225"/>
      <c r="F12" s="225"/>
      <c r="G12" s="225"/>
      <c r="H12" s="225"/>
      <c r="I12" s="225"/>
      <c r="J12" s="225"/>
      <c r="K12" s="225"/>
    </row>
    <row r="13" spans="1:12" ht="15.75" x14ac:dyDescent="0.3">
      <c r="A13" s="37" t="s">
        <v>241</v>
      </c>
      <c r="B13" s="185" t="s">
        <v>243</v>
      </c>
      <c r="C13" s="37" t="s">
        <v>214</v>
      </c>
      <c r="D13" s="37">
        <f>((D7^(-0.25))*(D11^0.5))/D9</f>
        <v>152.23782773486292</v>
      </c>
      <c r="E13" s="215" t="s">
        <v>210</v>
      </c>
      <c r="F13" s="288">
        <f>225/1000</f>
        <v>0.22500000000000001</v>
      </c>
      <c r="G13" s="288"/>
      <c r="H13" s="288"/>
      <c r="I13" s="288"/>
      <c r="J13" s="288"/>
      <c r="K13" s="289"/>
    </row>
    <row r="14" spans="1:12" ht="15.75" x14ac:dyDescent="0.3">
      <c r="A14" s="37" t="s">
        <v>242</v>
      </c>
      <c r="B14" s="186" t="s">
        <v>240</v>
      </c>
      <c r="C14" s="37" t="s">
        <v>216</v>
      </c>
      <c r="D14" s="37">
        <f>D2*D11/(D4*D13)</f>
        <v>2.4500760805204385</v>
      </c>
      <c r="E14" s="217" t="s">
        <v>270</v>
      </c>
      <c r="F14" s="284">
        <v>1.2250000000000001</v>
      </c>
      <c r="G14" s="284"/>
      <c r="H14" s="284"/>
      <c r="I14" s="284"/>
      <c r="J14" s="284"/>
      <c r="K14" s="285"/>
    </row>
    <row r="15" spans="1:12" ht="15.75" x14ac:dyDescent="0.3">
      <c r="E15" s="217" t="s">
        <v>271</v>
      </c>
      <c r="F15" s="286">
        <v>1.7893E-5</v>
      </c>
      <c r="G15" s="286"/>
      <c r="H15" s="286"/>
      <c r="I15" s="286"/>
      <c r="J15" s="286"/>
      <c r="K15" s="287"/>
    </row>
    <row r="16" spans="1:12" ht="15.75" x14ac:dyDescent="0.3">
      <c r="E16" s="217" t="s">
        <v>264</v>
      </c>
      <c r="F16" s="218">
        <v>20</v>
      </c>
      <c r="G16" s="218">
        <v>21</v>
      </c>
      <c r="H16" s="218">
        <v>22</v>
      </c>
      <c r="I16" s="218">
        <v>23</v>
      </c>
      <c r="J16" s="218">
        <v>24</v>
      </c>
      <c r="K16" s="219">
        <v>25</v>
      </c>
    </row>
    <row r="17" spans="2:11" ht="16.399999999999999" thickBot="1" x14ac:dyDescent="0.35">
      <c r="B17" s="182" t="s">
        <v>262</v>
      </c>
      <c r="C17" s="38" t="s">
        <v>263</v>
      </c>
      <c r="E17" s="220" t="s">
        <v>269</v>
      </c>
      <c r="F17" s="221">
        <f>F13*F16*F14/F15</f>
        <v>308081.37260381156</v>
      </c>
      <c r="G17" s="221">
        <f>F13*G16*F14/F15</f>
        <v>323485.44123400218</v>
      </c>
      <c r="H17" s="221">
        <f>F13*H16*F14/F15</f>
        <v>338889.50986419275</v>
      </c>
      <c r="I17" s="221">
        <f>F13*I16*F14/F15</f>
        <v>354293.57849438331</v>
      </c>
      <c r="J17" s="221">
        <f>F13*J16*F14/F15</f>
        <v>369697.64712457394</v>
      </c>
      <c r="K17" s="222">
        <f>F13*K16*F14/F15</f>
        <v>385101.7157547645</v>
      </c>
    </row>
    <row r="18" spans="2:11" x14ac:dyDescent="0.3">
      <c r="B18" s="182">
        <v>1</v>
      </c>
      <c r="C18" s="182">
        <f>(EXP((B18+8.43)/(-2.4)))*100</f>
        <v>1.9660049102807524</v>
      </c>
    </row>
    <row r="19" spans="2:11" x14ac:dyDescent="0.3">
      <c r="B19" s="182">
        <v>2</v>
      </c>
      <c r="C19" s="182">
        <f t="shared" ref="C19:C29" si="0">(EXP((B19+8.43)/(-2.4)))*100</f>
        <v>1.2960703160306504</v>
      </c>
    </row>
    <row r="20" spans="2:11" x14ac:dyDescent="0.3">
      <c r="B20" s="182">
        <v>3</v>
      </c>
      <c r="C20" s="182">
        <f t="shared" si="0"/>
        <v>0.85442221192413392</v>
      </c>
    </row>
    <row r="21" spans="2:11" x14ac:dyDescent="0.3">
      <c r="B21" s="182">
        <v>4</v>
      </c>
      <c r="C21" s="182">
        <f t="shared" si="0"/>
        <v>0.56326983744612291</v>
      </c>
    </row>
    <row r="22" spans="2:11" x14ac:dyDescent="0.3">
      <c r="B22" s="213">
        <v>5</v>
      </c>
      <c r="C22" s="213">
        <f t="shared" si="0"/>
        <v>0.37133036261088381</v>
      </c>
    </row>
    <row r="23" spans="2:11" x14ac:dyDescent="0.3">
      <c r="B23" s="182">
        <v>6</v>
      </c>
      <c r="C23" s="182">
        <f t="shared" si="0"/>
        <v>0.24479606226015829</v>
      </c>
    </row>
    <row r="24" spans="2:11" x14ac:dyDescent="0.3">
      <c r="B24" s="182">
        <v>7</v>
      </c>
      <c r="C24" s="182">
        <f t="shared" si="0"/>
        <v>0.16137951035497378</v>
      </c>
    </row>
    <row r="25" spans="2:11" x14ac:dyDescent="0.3">
      <c r="B25" s="182">
        <v>8</v>
      </c>
      <c r="C25" s="182">
        <f t="shared" si="0"/>
        <v>0.106387930107852</v>
      </c>
    </row>
    <row r="26" spans="2:11" x14ac:dyDescent="0.3">
      <c r="B26" s="213">
        <v>9</v>
      </c>
      <c r="C26" s="213">
        <f t="shared" si="0"/>
        <v>7.0135246090021086E-2</v>
      </c>
    </row>
    <row r="27" spans="2:11" x14ac:dyDescent="0.3">
      <c r="B27" s="182">
        <v>10</v>
      </c>
      <c r="C27" s="182">
        <f t="shared" si="0"/>
        <v>4.6236003831648699E-2</v>
      </c>
    </row>
    <row r="28" spans="2:11" x14ac:dyDescent="0.3">
      <c r="B28" s="182">
        <v>11</v>
      </c>
      <c r="C28" s="182">
        <f t="shared" si="0"/>
        <v>3.0480652303926242E-2</v>
      </c>
    </row>
    <row r="29" spans="2:11" x14ac:dyDescent="0.3">
      <c r="B29" s="182">
        <v>12</v>
      </c>
      <c r="C29" s="182">
        <f t="shared" si="0"/>
        <v>2.0094084433760918E-2</v>
      </c>
    </row>
  </sheetData>
  <mergeCells count="7">
    <mergeCell ref="F14:K14"/>
    <mergeCell ref="F15:K15"/>
    <mergeCell ref="F3:K3"/>
    <mergeCell ref="F4:K4"/>
    <mergeCell ref="F5:K5"/>
    <mergeCell ref="F6:K6"/>
    <mergeCell ref="F13:K1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23"/>
  <sheetViews>
    <sheetView zoomScaleNormal="100" workbookViewId="0">
      <selection activeCell="J19" sqref="J19"/>
    </sheetView>
  </sheetViews>
  <sheetFormatPr defaultColWidth="8.88671875" defaultRowHeight="15.05" x14ac:dyDescent="0.3"/>
  <cols>
    <col min="1" max="1" width="15.33203125" style="3" bestFit="1" customWidth="1"/>
    <col min="2" max="2" width="11.6640625" style="3" bestFit="1" customWidth="1"/>
    <col min="3" max="3" width="29.33203125" style="3" bestFit="1" customWidth="1"/>
    <col min="4" max="4" width="21.88671875" style="3" bestFit="1" customWidth="1"/>
    <col min="5" max="5" width="23.5546875" style="3" bestFit="1" customWidth="1"/>
    <col min="6" max="6" width="19.5546875" style="3" bestFit="1" customWidth="1"/>
    <col min="7" max="9" width="19.5546875" style="3" customWidth="1"/>
    <col min="10" max="10" width="23" style="3" bestFit="1" customWidth="1"/>
    <col min="11" max="13" width="8.88671875" style="3"/>
    <col min="14" max="14" width="17.33203125" style="3" bestFit="1" customWidth="1"/>
    <col min="15" max="16" width="8.88671875" style="3"/>
    <col min="17" max="17" width="12.88671875" style="3" bestFit="1" customWidth="1"/>
    <col min="18" max="18" width="13.5546875" style="3" bestFit="1" customWidth="1"/>
    <col min="19" max="16384" width="8.88671875" style="3"/>
  </cols>
  <sheetData>
    <row r="2" spans="2:18" x14ac:dyDescent="0.3">
      <c r="B2" s="121" t="s">
        <v>60</v>
      </c>
      <c r="C2" s="72">
        <f>SQRT(2)</f>
        <v>1.4142135623730951</v>
      </c>
      <c r="E2" s="3" t="s">
        <v>134</v>
      </c>
    </row>
    <row r="3" spans="2:18" x14ac:dyDescent="0.3">
      <c r="N3" s="3" t="s">
        <v>184</v>
      </c>
      <c r="O3" s="3" t="s">
        <v>185</v>
      </c>
    </row>
    <row r="4" spans="2:18" ht="15.75" x14ac:dyDescent="0.3">
      <c r="B4" s="129" t="s">
        <v>69</v>
      </c>
      <c r="C4" s="130" t="s">
        <v>135</v>
      </c>
      <c r="D4" s="130" t="s">
        <v>70</v>
      </c>
      <c r="E4" s="130" t="s">
        <v>71</v>
      </c>
      <c r="F4" s="130" t="s">
        <v>72</v>
      </c>
      <c r="G4" s="131" t="s">
        <v>73</v>
      </c>
      <c r="H4" s="131" t="s">
        <v>74</v>
      </c>
      <c r="I4" s="122" t="s">
        <v>75</v>
      </c>
      <c r="J4" s="122" t="s">
        <v>76</v>
      </c>
      <c r="K4" s="121" t="s">
        <v>77</v>
      </c>
      <c r="L4" s="121" t="s">
        <v>78</v>
      </c>
      <c r="M4" s="121" t="s">
        <v>79</v>
      </c>
      <c r="N4" s="121" t="s">
        <v>80</v>
      </c>
      <c r="O4" s="121" t="s">
        <v>81</v>
      </c>
      <c r="P4" s="121" t="s">
        <v>82</v>
      </c>
      <c r="Q4" s="121" t="s">
        <v>83</v>
      </c>
      <c r="R4" s="121" t="s">
        <v>84</v>
      </c>
    </row>
    <row r="5" spans="2:18" x14ac:dyDescent="0.3">
      <c r="B5" s="132" t="s">
        <v>85</v>
      </c>
      <c r="C5" s="140">
        <v>1.0068999999999999</v>
      </c>
      <c r="D5" s="28">
        <v>0.96193841000000002</v>
      </c>
      <c r="E5" s="133">
        <v>0.96424399999999999</v>
      </c>
      <c r="F5" s="133">
        <v>0.96492352999999997</v>
      </c>
      <c r="G5" s="133">
        <f t="shared" ref="G5:H7" si="0">D5-E5</f>
        <v>-2.3055899999999685E-3</v>
      </c>
      <c r="H5" s="134">
        <f t="shared" si="0"/>
        <v>-6.7952999999998376E-4</v>
      </c>
      <c r="I5" s="72">
        <f>H5/G5</f>
        <v>0.29473150039685853</v>
      </c>
      <c r="J5" s="72" t="str">
        <f>IF(AND(I5&lt;1,I5&gt;0), "Monotonic Convergence", IF(I5&lt;-1, "Oscillatory Divergence", IF(I5&gt;1, "Monotonic Divergence", "Oscillatory Convergence")))</f>
        <v>Monotonic Convergence</v>
      </c>
      <c r="K5" s="72">
        <f>(1/LN(C2) )*ABS(LN(1/I5) )</f>
        <v>3.5250536668306696</v>
      </c>
      <c r="L5" s="72">
        <f>((C2^K5)*F5 - E5)/(C2^K5 -1)</f>
        <v>0.96520750538891553</v>
      </c>
      <c r="M5" s="72">
        <f>($C$2^K5*E5 - D5)/($C$2^K5 -1)</f>
        <v>0.96520750538891553</v>
      </c>
      <c r="N5" s="72">
        <f>ABS(F5-E5)/F5</f>
        <v>7.0423197162575548E-4</v>
      </c>
      <c r="O5" s="72">
        <f>ABS(L5-F5)/L5</f>
        <v>2.9421174962904455E-4</v>
      </c>
      <c r="P5" s="72">
        <f>1.25*N5/(C2^K5-1)</f>
        <v>3.6787291957157399E-4</v>
      </c>
      <c r="Q5" s="72">
        <f>P5*100</f>
        <v>3.6787291957157402E-2</v>
      </c>
      <c r="R5" s="72">
        <f>(L5-C5)/C5 * 100</f>
        <v>-4.1406787775433882</v>
      </c>
    </row>
    <row r="6" spans="2:18" x14ac:dyDescent="0.3">
      <c r="B6" s="132" t="s">
        <v>86</v>
      </c>
      <c r="C6" s="141">
        <v>2.4809999999999999E-2</v>
      </c>
      <c r="D6" s="133">
        <v>2.4122296000000001E-2</v>
      </c>
      <c r="E6" s="135">
        <v>2.3902434E-2</v>
      </c>
      <c r="F6" s="133">
        <v>2.3857821000000001E-2</v>
      </c>
      <c r="G6" s="133">
        <f t="shared" si="0"/>
        <v>2.1986200000000122E-4</v>
      </c>
      <c r="H6" s="134">
        <f t="shared" si="0"/>
        <v>4.4612999999998904E-5</v>
      </c>
      <c r="I6" s="72">
        <f>H6/G6</f>
        <v>0.20291364583237964</v>
      </c>
      <c r="J6" s="72" t="str">
        <f t="shared" ref="J6" si="1">IF(AND(I6&lt;1,I6&gt;0), "Monotonic Convergence", IF(I6&lt;-1, "Oscillatory Divergence", IF(I6&gt;1, "Monotonic Divergence", "Oscillatory Convergence")))</f>
        <v>Monotonic Convergence</v>
      </c>
      <c r="K6" s="72">
        <f>(1/LN($C$2) )*ABS(LN(1/I6))</f>
        <v>4.6021244121461944</v>
      </c>
      <c r="L6" s="72">
        <f>($C$2^$K$6*F6 - E6)/($C$2^$K$6 -1)</f>
        <v>2.3846463903702736E-2</v>
      </c>
      <c r="M6" s="72">
        <f>($C$2^$K$6*E6 - D6)/($C$2^$K$6 -1)</f>
        <v>2.3846463903702736E-2</v>
      </c>
      <c r="N6" s="72">
        <f>ABS(F6-E6)/F6</f>
        <v>1.8699528343346569E-3</v>
      </c>
      <c r="O6" s="72">
        <f>ABS(L6-F6)/L6</f>
        <v>4.7625913607685343E-4</v>
      </c>
      <c r="P6" s="72">
        <f>1.25*N6/(C2^K6-1)</f>
        <v>5.9504052660906009E-4</v>
      </c>
      <c r="Q6" s="72">
        <f>P6*100</f>
        <v>5.9504052660906012E-2</v>
      </c>
      <c r="R6" s="72">
        <f>(L6-C6)/C6 * 100</f>
        <v>-3.8836602027297982</v>
      </c>
    </row>
    <row r="7" spans="2:18" x14ac:dyDescent="0.3">
      <c r="B7" s="132" t="s">
        <v>183</v>
      </c>
      <c r="C7" s="28">
        <v>-1.5699999999999999E-2</v>
      </c>
      <c r="D7" s="136">
        <v>-1.7405E-2</v>
      </c>
      <c r="E7" s="135">
        <v>-1.7395999999999998E-2</v>
      </c>
      <c r="F7" s="133">
        <v>-0.17214554900000001</v>
      </c>
      <c r="G7" s="133">
        <f t="shared" si="0"/>
        <v>-9.0000000000020619E-6</v>
      </c>
      <c r="H7" s="134">
        <f t="shared" si="0"/>
        <v>0.15474954900000001</v>
      </c>
      <c r="I7" s="72">
        <f>H7/G7</f>
        <v>-17194.394333329397</v>
      </c>
      <c r="J7" s="72" t="str">
        <f t="shared" ref="J7" si="2">IF(AND(I7&lt;1,I7&gt;0), "Monotonic Convergence", IF(I7&lt;-1, "Oscillatory Divergence", IF(I7&gt;1, "Monotonic Divergence", "Oscillatory Convergence")))</f>
        <v>Oscillatory Divergence</v>
      </c>
      <c r="K7" s="72" t="e">
        <f>(1/LN($C$2) )*ABS(LN(G7/H7))</f>
        <v>#NUM!</v>
      </c>
      <c r="L7" s="72">
        <f>($C$2^$K$6*F7 - E7)/($C$2^$K$6 -1)</f>
        <v>-0.21154001989305357</v>
      </c>
      <c r="M7" s="72">
        <f>($C$2^$K$6*E7 - D7)/($C$2^$K$6 -1)</f>
        <v>-1.7393708877083462E-2</v>
      </c>
      <c r="N7" s="72">
        <f>ABS(F7-E7)/F7</f>
        <v>-0.89894597855678515</v>
      </c>
      <c r="O7" s="72">
        <f>ABS(L7-F7)/L7</f>
        <v>-0.18622703596685808</v>
      </c>
      <c r="P7" s="72" t="e">
        <f>1.25*N7/(C3^K7-1)</f>
        <v>#NUM!</v>
      </c>
      <c r="Q7" s="72" t="e">
        <f>P7*100</f>
        <v>#NUM!</v>
      </c>
      <c r="R7" s="72">
        <f>(L7-C7)/C7 * 100</f>
        <v>1247.388661739195</v>
      </c>
    </row>
    <row r="8" spans="2:18" x14ac:dyDescent="0.3">
      <c r="B8" s="124"/>
    </row>
    <row r="9" spans="2:18" hidden="1" x14ac:dyDescent="0.3"/>
    <row r="10" spans="2:18" hidden="1" x14ac:dyDescent="0.3">
      <c r="D10" s="292" t="s">
        <v>87</v>
      </c>
      <c r="E10" s="292"/>
      <c r="F10" s="292"/>
      <c r="G10" s="292"/>
      <c r="H10" s="292"/>
      <c r="I10" s="292"/>
      <c r="J10" s="125"/>
    </row>
    <row r="11" spans="2:18" hidden="1" x14ac:dyDescent="0.3">
      <c r="D11" s="123" t="s">
        <v>88</v>
      </c>
      <c r="E11" s="126">
        <f>SIGN(I5)</f>
        <v>1</v>
      </c>
      <c r="F11" s="123" t="s">
        <v>89</v>
      </c>
      <c r="G11" s="72">
        <f>(1/LN(1.5) )*ABS(LN($G$5/$H$5))</f>
        <v>3.0130595230334403</v>
      </c>
      <c r="H11" s="123" t="s">
        <v>90</v>
      </c>
      <c r="I11" s="72">
        <f xml:space="preserve"> LN(  (1.5^G11-1)/(1.333^G11-1))</f>
        <v>0.55224296939320916</v>
      </c>
    </row>
    <row r="12" spans="2:18" hidden="1" x14ac:dyDescent="0.3">
      <c r="F12" s="123" t="s">
        <v>77</v>
      </c>
      <c r="G12" s="72">
        <f>(1/LN(1.5) )*ABS(LN($G$5/$H$5)+$I$11)</f>
        <v>4.3750582705209533</v>
      </c>
      <c r="H12" s="123"/>
      <c r="I12" s="72">
        <f xml:space="preserve"> LN(  (1.5^G12-1)/(1.333^G12-1))</f>
        <v>0.66504734051520953</v>
      </c>
    </row>
    <row r="13" spans="2:18" hidden="1" x14ac:dyDescent="0.3">
      <c r="F13" s="123"/>
      <c r="G13" s="72">
        <f>(1/LN(1.5) )*ABS(LN($G$5/$H$5)+$I$12)</f>
        <v>4.6532680815903396</v>
      </c>
      <c r="H13" s="123"/>
      <c r="I13" s="72">
        <f xml:space="preserve"> LN(  (1.5^G13-1)/(1.333^G13-1))</f>
        <v>0.68936846378129957</v>
      </c>
    </row>
    <row r="14" spans="2:18" hidden="1" x14ac:dyDescent="0.3">
      <c r="F14" s="123"/>
      <c r="G14" s="72">
        <f t="shared" ref="G14" si="3">(1/LN(1.5) )*ABS(LN($G$5/$H$5)+$I$11)</f>
        <v>4.3750582705209533</v>
      </c>
      <c r="H14" s="123"/>
      <c r="I14" s="72">
        <f t="shared" ref="I14:I16" si="4" xml:space="preserve"> LN(  (1.5^G14-1)/(1.333^G14-1))</f>
        <v>0.66504734051520953</v>
      </c>
    </row>
    <row r="15" spans="2:18" hidden="1" x14ac:dyDescent="0.3">
      <c r="F15" s="123"/>
      <c r="G15" s="72">
        <f t="shared" ref="G15" si="5">(1/LN(1.5) )*ABS(LN($G$5/$H$5)+$I$12)</f>
        <v>4.6532680815903396</v>
      </c>
      <c r="H15" s="123"/>
      <c r="I15" s="72">
        <f t="shared" si="4"/>
        <v>0.68936846378129957</v>
      </c>
    </row>
    <row r="16" spans="2:18" hidden="1" x14ac:dyDescent="0.3">
      <c r="F16" s="123"/>
      <c r="G16" s="72">
        <f t="shared" ref="G16" si="6">(1/LN(1.5) )*ABS(LN($G$5/$H$5)+$I$11)</f>
        <v>4.3750582705209533</v>
      </c>
      <c r="H16" s="123"/>
      <c r="I16" s="72">
        <f t="shared" si="4"/>
        <v>0.66504734051520953</v>
      </c>
    </row>
    <row r="17" spans="1:10" hidden="1" x14ac:dyDescent="0.3">
      <c r="F17" s="123"/>
      <c r="G17" s="72">
        <f t="shared" ref="G17" si="7">(1/LN(1.5) )*ABS(LN($G$5/$H$5)+$I$12)</f>
        <v>4.6532680815903396</v>
      </c>
      <c r="H17" s="123"/>
      <c r="I17" s="72" t="s">
        <v>91</v>
      </c>
    </row>
    <row r="19" spans="1:10" x14ac:dyDescent="0.3">
      <c r="A19" s="121" t="s">
        <v>93</v>
      </c>
      <c r="B19" s="72">
        <f>'[1]Mesh info'!G5</f>
        <v>100000</v>
      </c>
      <c r="C19" s="121" t="s">
        <v>94</v>
      </c>
      <c r="D19" s="72">
        <f>1/B19</f>
        <v>1.0000000000000001E-5</v>
      </c>
      <c r="E19" s="127" t="s">
        <v>92</v>
      </c>
      <c r="F19" s="72">
        <f>D5</f>
        <v>0.96193841000000002</v>
      </c>
      <c r="G19" s="127" t="s">
        <v>95</v>
      </c>
      <c r="H19" s="72">
        <f>D6</f>
        <v>2.4122296000000001E-2</v>
      </c>
      <c r="I19" s="3">
        <f>LN(H19)</f>
        <v>-3.7246187209403994</v>
      </c>
      <c r="J19">
        <v>-1.7082043000000002E-2</v>
      </c>
    </row>
    <row r="20" spans="1:10" x14ac:dyDescent="0.3">
      <c r="A20" s="121"/>
      <c r="B20" s="72">
        <f>'[1]Mesh info'!G6</f>
        <v>200000</v>
      </c>
      <c r="C20" s="121"/>
      <c r="D20" s="72">
        <f t="shared" ref="D20:D21" si="8">1/B20</f>
        <v>5.0000000000000004E-6</v>
      </c>
      <c r="E20" s="127" t="s">
        <v>96</v>
      </c>
      <c r="F20" s="72">
        <f>E5</f>
        <v>0.96424399999999999</v>
      </c>
      <c r="G20" s="127" t="s">
        <v>97</v>
      </c>
      <c r="H20" s="72">
        <f>E6</f>
        <v>2.3902434E-2</v>
      </c>
      <c r="I20" s="3">
        <f t="shared" ref="I20:I23" si="9">LN(H20)</f>
        <v>-3.7337749842259309</v>
      </c>
    </row>
    <row r="21" spans="1:10" x14ac:dyDescent="0.3">
      <c r="A21" s="121"/>
      <c r="B21" s="72">
        <f>'[1]Mesh info'!G7</f>
        <v>400000</v>
      </c>
      <c r="C21" s="121"/>
      <c r="D21" s="72">
        <f t="shared" si="8"/>
        <v>2.5000000000000002E-6</v>
      </c>
      <c r="E21" s="127" t="s">
        <v>98</v>
      </c>
      <c r="F21" s="72">
        <f>F5</f>
        <v>0.96492352999999997</v>
      </c>
      <c r="G21" s="127" t="s">
        <v>99</v>
      </c>
      <c r="H21" s="72">
        <f>F6</f>
        <v>2.3857821000000001E-2</v>
      </c>
      <c r="I21" s="3">
        <f t="shared" si="9"/>
        <v>-3.7356431908749816</v>
      </c>
    </row>
    <row r="22" spans="1:10" x14ac:dyDescent="0.3">
      <c r="A22" s="121"/>
      <c r="B22" s="72">
        <v>800000</v>
      </c>
      <c r="C22" s="121"/>
      <c r="D22" s="72">
        <f>1/B22</f>
        <v>1.2500000000000001E-6</v>
      </c>
      <c r="E22" s="127" t="s">
        <v>204</v>
      </c>
      <c r="F22" s="72">
        <v>0.96518285999999998</v>
      </c>
      <c r="G22" s="127"/>
      <c r="H22" s="72">
        <v>2.3864158E-2</v>
      </c>
      <c r="I22" s="3">
        <f t="shared" si="9"/>
        <v>-3.7353776109401156</v>
      </c>
    </row>
    <row r="23" spans="1:10" x14ac:dyDescent="0.3">
      <c r="A23" s="121"/>
      <c r="B23" s="128" t="s">
        <v>101</v>
      </c>
      <c r="C23" s="121"/>
      <c r="D23" s="72">
        <v>0</v>
      </c>
      <c r="E23" s="127" t="s">
        <v>100</v>
      </c>
      <c r="F23" s="139">
        <f>L5</f>
        <v>0.96520750538891553</v>
      </c>
      <c r="G23" s="127" t="s">
        <v>102</v>
      </c>
      <c r="H23" s="142">
        <f>L6</f>
        <v>2.3846463903702736E-2</v>
      </c>
      <c r="I23" s="3">
        <f t="shared" si="9"/>
        <v>-3.7361193366356718</v>
      </c>
    </row>
  </sheetData>
  <mergeCells count="1">
    <mergeCell ref="D10:I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Coordinates</vt:lpstr>
      <vt:lpstr>COARSE MESH</vt:lpstr>
      <vt:lpstr>MEDIUM MESH</vt:lpstr>
      <vt:lpstr>FINE MESH</vt:lpstr>
      <vt:lpstr>Y+ </vt:lpstr>
      <vt:lpstr>Mesh Details</vt:lpstr>
      <vt:lpstr>Comparison (2)</vt:lpstr>
      <vt:lpstr>Sheet2</vt:lpstr>
      <vt:lpstr>Sheet1</vt:lpstr>
      <vt:lpstr>GCI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SIDHARTHA MAURYA</dc:creator>
  <cp:lastModifiedBy>SIDHARTHA MAURYA</cp:lastModifiedBy>
  <cp:lastPrinted>2025-06-17T09:03:24Z</cp:lastPrinted>
  <dcterms:created xsi:type="dcterms:W3CDTF">2015-06-05T18:17:20Z</dcterms:created>
  <dcterms:modified xsi:type="dcterms:W3CDTF">2025-07-07T07:36:33Z</dcterms:modified>
</cp:coreProperties>
</file>